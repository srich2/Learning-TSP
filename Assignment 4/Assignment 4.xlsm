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ishg\Downloads\"/>
    </mc:Choice>
  </mc:AlternateContent>
  <xr:revisionPtr revIDLastSave="0" documentId="10_ncr:100000_{495E0BF8-FF4F-4215-B640-502732B0F9E2}" xr6:coauthVersionLast="31" xr6:coauthVersionMax="31" xr10:uidLastSave="{00000000-0000-0000-0000-000000000000}"/>
  <bookViews>
    <workbookView xWindow="0" yWindow="0" windowWidth="23040" windowHeight="8496" tabRatio="500" xr2:uid="{00000000-000D-0000-FFFF-FFFF00000000}"/>
  </bookViews>
  <sheets>
    <sheet name="Question 1" sheetId="2" r:id="rId1"/>
    <sheet name="Question 2" sheetId="3" r:id="rId2"/>
    <sheet name="Question 3" sheetId="4" r:id="rId3"/>
  </sheets>
  <externalReferences>
    <externalReference r:id="rId4"/>
  </externalReferences>
  <calcPr calcId="179017" calcOnSave="0" concurrentCalc="0"/>
  <fileRecoveryPr repairLoad="1"/>
</workbook>
</file>

<file path=xl/calcChain.xml><?xml version="1.0" encoding="utf-8"?>
<calcChain xmlns="http://schemas.openxmlformats.org/spreadsheetml/2006/main">
  <c r="H3" i="3" l="1"/>
  <c r="J9" i="2"/>
  <c r="J8" i="2"/>
  <c r="J7" i="2"/>
  <c r="J6" i="2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4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5" i="4"/>
  <c r="D4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G103" i="4"/>
  <c r="J10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F4" i="4"/>
  <c r="F5" i="4"/>
  <c r="F6" i="4"/>
  <c r="F7" i="4"/>
  <c r="F8" i="4"/>
  <c r="F9" i="4"/>
  <c r="F10" i="4"/>
  <c r="F11" i="4"/>
  <c r="F12" i="4"/>
  <c r="F13" i="4"/>
  <c r="F14" i="4"/>
  <c r="E14" i="4"/>
  <c r="F15" i="4"/>
  <c r="E15" i="4"/>
  <c r="F16" i="4"/>
  <c r="E16" i="4"/>
  <c r="F17" i="4"/>
  <c r="E17" i="4"/>
  <c r="F18" i="4"/>
  <c r="E18" i="4"/>
  <c r="F19" i="4"/>
  <c r="E19" i="4"/>
  <c r="F20" i="4"/>
  <c r="E20" i="4"/>
  <c r="F21" i="4"/>
  <c r="E21" i="4"/>
  <c r="F22" i="4"/>
  <c r="H23" i="4"/>
  <c r="I24" i="4"/>
  <c r="E22" i="4"/>
  <c r="F23" i="4"/>
  <c r="H24" i="4"/>
  <c r="I25" i="4"/>
  <c r="E23" i="4"/>
  <c r="F24" i="4"/>
  <c r="H25" i="4"/>
  <c r="I26" i="4"/>
  <c r="E24" i="4"/>
  <c r="F25" i="4"/>
  <c r="H26" i="4"/>
  <c r="I27" i="4"/>
  <c r="E25" i="4"/>
  <c r="F26" i="4"/>
  <c r="H27" i="4"/>
  <c r="I28" i="4"/>
  <c r="E26" i="4"/>
  <c r="F27" i="4"/>
  <c r="H28" i="4"/>
  <c r="I29" i="4"/>
  <c r="E27" i="4"/>
  <c r="F28" i="4"/>
  <c r="H29" i="4"/>
  <c r="I30" i="4"/>
  <c r="E28" i="4"/>
  <c r="F29" i="4"/>
  <c r="H30" i="4"/>
  <c r="I31" i="4"/>
  <c r="E29" i="4"/>
  <c r="F30" i="4"/>
  <c r="H31" i="4"/>
  <c r="I32" i="4"/>
  <c r="E30" i="4"/>
  <c r="F31" i="4"/>
  <c r="H32" i="4"/>
  <c r="I33" i="4"/>
  <c r="E31" i="4"/>
  <c r="F32" i="4"/>
  <c r="H33" i="4"/>
  <c r="I34" i="4"/>
  <c r="E32" i="4"/>
  <c r="F33" i="4"/>
  <c r="H34" i="4"/>
  <c r="I35" i="4"/>
  <c r="E33" i="4"/>
  <c r="F34" i="4"/>
  <c r="H35" i="4"/>
  <c r="I36" i="4"/>
  <c r="E34" i="4"/>
  <c r="F35" i="4"/>
  <c r="H36" i="4"/>
  <c r="I37" i="4"/>
  <c r="E35" i="4"/>
  <c r="F36" i="4"/>
  <c r="H37" i="4"/>
  <c r="I38" i="4"/>
  <c r="E36" i="4"/>
  <c r="F37" i="4"/>
  <c r="H38" i="4"/>
  <c r="I39" i="4"/>
  <c r="E37" i="4"/>
  <c r="F38" i="4"/>
  <c r="H39" i="4"/>
  <c r="I40" i="4"/>
  <c r="E38" i="4"/>
  <c r="F39" i="4"/>
  <c r="H40" i="4"/>
  <c r="I41" i="4"/>
  <c r="E39" i="4"/>
  <c r="F40" i="4"/>
  <c r="H41" i="4"/>
  <c r="I42" i="4"/>
  <c r="E40" i="4"/>
  <c r="F41" i="4"/>
  <c r="H42" i="4"/>
  <c r="I43" i="4"/>
  <c r="E41" i="4"/>
  <c r="F42" i="4"/>
  <c r="H43" i="4"/>
  <c r="I44" i="4"/>
  <c r="E42" i="4"/>
  <c r="F43" i="4"/>
  <c r="H44" i="4"/>
  <c r="I45" i="4"/>
  <c r="E43" i="4"/>
  <c r="F44" i="4"/>
  <c r="H45" i="4"/>
  <c r="I46" i="4"/>
  <c r="E44" i="4"/>
  <c r="F45" i="4"/>
  <c r="H46" i="4"/>
  <c r="I47" i="4"/>
  <c r="E45" i="4"/>
  <c r="F46" i="4"/>
  <c r="H47" i="4"/>
  <c r="I48" i="4"/>
  <c r="E46" i="4"/>
  <c r="F47" i="4"/>
  <c r="H48" i="4"/>
  <c r="I49" i="4"/>
  <c r="E47" i="4"/>
  <c r="F48" i="4"/>
  <c r="H49" i="4"/>
  <c r="I50" i="4"/>
  <c r="E48" i="4"/>
  <c r="F49" i="4"/>
  <c r="H50" i="4"/>
  <c r="I51" i="4"/>
  <c r="E49" i="4"/>
  <c r="F50" i="4"/>
  <c r="H51" i="4"/>
  <c r="I52" i="4"/>
  <c r="E50" i="4"/>
  <c r="F51" i="4"/>
  <c r="H52" i="4"/>
  <c r="I53" i="4"/>
  <c r="E51" i="4"/>
  <c r="F52" i="4"/>
  <c r="H53" i="4"/>
  <c r="I54" i="4"/>
  <c r="E52" i="4"/>
  <c r="F53" i="4"/>
  <c r="H54" i="4"/>
  <c r="I55" i="4"/>
  <c r="E53" i="4"/>
  <c r="F54" i="4"/>
  <c r="H55" i="4"/>
  <c r="I56" i="4"/>
  <c r="E54" i="4"/>
  <c r="F55" i="4"/>
  <c r="H56" i="4"/>
  <c r="I57" i="4"/>
  <c r="E55" i="4"/>
  <c r="F56" i="4"/>
  <c r="H57" i="4"/>
  <c r="I58" i="4"/>
  <c r="E56" i="4"/>
  <c r="F57" i="4"/>
  <c r="H58" i="4"/>
  <c r="I59" i="4"/>
  <c r="E57" i="4"/>
  <c r="F58" i="4"/>
  <c r="H59" i="4"/>
  <c r="I60" i="4"/>
  <c r="E58" i="4"/>
  <c r="F59" i="4"/>
  <c r="H60" i="4"/>
  <c r="I61" i="4"/>
  <c r="E59" i="4"/>
  <c r="F60" i="4"/>
  <c r="H61" i="4"/>
  <c r="I62" i="4"/>
  <c r="E60" i="4"/>
  <c r="F61" i="4"/>
  <c r="H62" i="4"/>
  <c r="I63" i="4"/>
  <c r="E61" i="4"/>
  <c r="F62" i="4"/>
  <c r="H63" i="4"/>
  <c r="I64" i="4"/>
  <c r="E62" i="4"/>
  <c r="F63" i="4"/>
  <c r="H64" i="4"/>
  <c r="I65" i="4"/>
  <c r="E63" i="4"/>
  <c r="F64" i="4"/>
  <c r="H65" i="4"/>
  <c r="I66" i="4"/>
  <c r="E64" i="4"/>
  <c r="F65" i="4"/>
  <c r="H66" i="4"/>
  <c r="I67" i="4"/>
  <c r="E65" i="4"/>
  <c r="F66" i="4"/>
  <c r="H67" i="4"/>
  <c r="I68" i="4"/>
  <c r="E66" i="4"/>
  <c r="F67" i="4"/>
  <c r="H68" i="4"/>
  <c r="I69" i="4"/>
  <c r="E67" i="4"/>
  <c r="F68" i="4"/>
  <c r="H69" i="4"/>
  <c r="I70" i="4"/>
  <c r="E68" i="4"/>
  <c r="F69" i="4"/>
  <c r="H70" i="4"/>
  <c r="I71" i="4"/>
  <c r="E69" i="4"/>
  <c r="F70" i="4"/>
  <c r="H71" i="4"/>
  <c r="I72" i="4"/>
  <c r="E70" i="4"/>
  <c r="F71" i="4"/>
  <c r="H72" i="4"/>
  <c r="I73" i="4"/>
  <c r="E71" i="4"/>
  <c r="F72" i="4"/>
  <c r="H73" i="4"/>
  <c r="I74" i="4"/>
  <c r="E72" i="4"/>
  <c r="F73" i="4"/>
  <c r="H74" i="4"/>
  <c r="I75" i="4"/>
  <c r="E73" i="4"/>
  <c r="F74" i="4"/>
  <c r="H75" i="4"/>
  <c r="I76" i="4"/>
  <c r="E74" i="4"/>
  <c r="F75" i="4"/>
  <c r="H76" i="4"/>
  <c r="I77" i="4"/>
  <c r="E75" i="4"/>
  <c r="F76" i="4"/>
  <c r="H77" i="4"/>
  <c r="I78" i="4"/>
  <c r="E76" i="4"/>
  <c r="F77" i="4"/>
  <c r="H78" i="4"/>
  <c r="I79" i="4"/>
  <c r="E77" i="4"/>
  <c r="F78" i="4"/>
  <c r="H79" i="4"/>
  <c r="I80" i="4"/>
  <c r="E78" i="4"/>
  <c r="F79" i="4"/>
  <c r="H80" i="4"/>
  <c r="I81" i="4"/>
  <c r="E79" i="4"/>
  <c r="F80" i="4"/>
  <c r="H81" i="4"/>
  <c r="I82" i="4"/>
  <c r="E80" i="4"/>
  <c r="F81" i="4"/>
  <c r="H82" i="4"/>
  <c r="I83" i="4"/>
  <c r="E81" i="4"/>
  <c r="F82" i="4"/>
  <c r="H83" i="4"/>
  <c r="I84" i="4"/>
  <c r="E82" i="4"/>
  <c r="F83" i="4"/>
  <c r="H84" i="4"/>
  <c r="I85" i="4"/>
  <c r="E83" i="4"/>
  <c r="F84" i="4"/>
  <c r="H85" i="4"/>
  <c r="I86" i="4"/>
  <c r="E84" i="4"/>
  <c r="F85" i="4"/>
  <c r="H86" i="4"/>
  <c r="I87" i="4"/>
  <c r="E85" i="4"/>
  <c r="F86" i="4"/>
  <c r="H87" i="4"/>
  <c r="I88" i="4"/>
  <c r="E86" i="4"/>
  <c r="F87" i="4"/>
  <c r="H88" i="4"/>
  <c r="I89" i="4"/>
  <c r="E87" i="4"/>
  <c r="F88" i="4"/>
  <c r="H89" i="4"/>
  <c r="I90" i="4"/>
  <c r="E88" i="4"/>
  <c r="F89" i="4"/>
  <c r="H90" i="4"/>
  <c r="I91" i="4"/>
  <c r="E89" i="4"/>
  <c r="F90" i="4"/>
  <c r="H91" i="4"/>
  <c r="I92" i="4"/>
  <c r="E90" i="4"/>
  <c r="F91" i="4"/>
  <c r="H92" i="4"/>
  <c r="I93" i="4"/>
  <c r="E91" i="4"/>
  <c r="F92" i="4"/>
  <c r="H93" i="4"/>
  <c r="I94" i="4"/>
  <c r="E92" i="4"/>
  <c r="F93" i="4"/>
  <c r="H94" i="4"/>
  <c r="I95" i="4"/>
  <c r="E93" i="4"/>
  <c r="F94" i="4"/>
  <c r="H95" i="4"/>
  <c r="I96" i="4"/>
  <c r="E94" i="4"/>
  <c r="F95" i="4"/>
  <c r="H96" i="4"/>
  <c r="I97" i="4"/>
  <c r="E95" i="4"/>
  <c r="F96" i="4"/>
  <c r="H97" i="4"/>
  <c r="I98" i="4"/>
  <c r="E96" i="4"/>
  <c r="F97" i="4"/>
  <c r="H98" i="4"/>
  <c r="I99" i="4"/>
  <c r="E97" i="4"/>
  <c r="F98" i="4"/>
  <c r="H99" i="4"/>
  <c r="I100" i="4"/>
  <c r="E98" i="4"/>
  <c r="F99" i="4"/>
  <c r="H100" i="4"/>
  <c r="I101" i="4"/>
  <c r="E99" i="4"/>
  <c r="F100" i="4"/>
  <c r="H101" i="4"/>
  <c r="I102" i="4"/>
  <c r="E100" i="4"/>
  <c r="F101" i="4"/>
  <c r="H102" i="4"/>
  <c r="I103" i="4"/>
  <c r="E101" i="4"/>
  <c r="F102" i="4"/>
  <c r="H103" i="4"/>
  <c r="E102" i="4"/>
  <c r="F103" i="4"/>
  <c r="E103" i="4"/>
  <c r="G102" i="4"/>
  <c r="J102" i="4"/>
  <c r="G101" i="4"/>
  <c r="J101" i="4"/>
  <c r="G100" i="4"/>
  <c r="J100" i="4"/>
  <c r="G99" i="4"/>
  <c r="J99" i="4"/>
  <c r="G98" i="4"/>
  <c r="J98" i="4"/>
  <c r="G97" i="4"/>
  <c r="J97" i="4"/>
  <c r="G96" i="4"/>
  <c r="J96" i="4"/>
  <c r="G95" i="4"/>
  <c r="J95" i="4"/>
  <c r="G94" i="4"/>
  <c r="J94" i="4"/>
  <c r="G93" i="4"/>
  <c r="J93" i="4"/>
  <c r="G92" i="4"/>
  <c r="J92" i="4"/>
  <c r="G91" i="4"/>
  <c r="J91" i="4"/>
  <c r="G90" i="4"/>
  <c r="J90" i="4"/>
  <c r="G89" i="4"/>
  <c r="J89" i="4"/>
  <c r="G88" i="4"/>
  <c r="J88" i="4"/>
  <c r="G87" i="4"/>
  <c r="J87" i="4"/>
  <c r="G86" i="4"/>
  <c r="J86" i="4"/>
  <c r="G85" i="4"/>
  <c r="J85" i="4"/>
  <c r="G84" i="4"/>
  <c r="J84" i="4"/>
  <c r="G83" i="4"/>
  <c r="J83" i="4"/>
  <c r="G82" i="4"/>
  <c r="J82" i="4"/>
  <c r="G81" i="4"/>
  <c r="J81" i="4"/>
  <c r="G80" i="4"/>
  <c r="J80" i="4"/>
  <c r="G79" i="4"/>
  <c r="J79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G78" i="4"/>
  <c r="G77" i="4"/>
  <c r="G76" i="4"/>
  <c r="G75" i="4"/>
  <c r="G74" i="4"/>
  <c r="G73" i="4"/>
  <c r="G72" i="4"/>
  <c r="G71" i="4"/>
  <c r="G70" i="4"/>
  <c r="G69" i="4"/>
  <c r="G68" i="4"/>
  <c r="G67" i="4"/>
  <c r="H5" i="3"/>
  <c r="H4" i="3"/>
  <c r="I2" i="2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A3" i="3"/>
</calcChain>
</file>

<file path=xl/sharedStrings.xml><?xml version="1.0" encoding="utf-8"?>
<sst xmlns="http://schemas.openxmlformats.org/spreadsheetml/2006/main" count="47" uniqueCount="38">
  <si>
    <t>Agent ID</t>
  </si>
  <si>
    <t>Interarrival Time/second</t>
  </si>
  <si>
    <t>Service Time Duration/second</t>
  </si>
  <si>
    <t>Arrival Time</t>
  </si>
  <si>
    <t>Service Start Time</t>
  </si>
  <si>
    <t>Service End Time</t>
  </si>
  <si>
    <t>Waiting Time in Queue/second</t>
  </si>
  <si>
    <t>Max_WT</t>
  </si>
  <si>
    <t>Aver_WT</t>
  </si>
  <si>
    <t>#of Agent in queue</t>
  </si>
  <si>
    <t>Aver</t>
  </si>
  <si>
    <t>Max</t>
  </si>
  <si>
    <t>Cycle Time</t>
  </si>
  <si>
    <t>Server Utilization Rate</t>
  </si>
  <si>
    <t>arrival_second</t>
  </si>
  <si>
    <t>N_arrival</t>
  </si>
  <si>
    <t>departure_second</t>
  </si>
  <si>
    <t>N_departure</t>
  </si>
  <si>
    <t>0-30mins</t>
  </si>
  <si>
    <t>480/hr</t>
  </si>
  <si>
    <t>permin</t>
  </si>
  <si>
    <t>Arrival</t>
  </si>
  <si>
    <t>Departure</t>
  </si>
  <si>
    <t>Total Delay</t>
  </si>
  <si>
    <t>Total W time</t>
  </si>
  <si>
    <t>Queue length</t>
  </si>
  <si>
    <t>Avg W time</t>
  </si>
  <si>
    <t>a (mph/s)</t>
    <phoneticPr fontId="1" type="noConversion"/>
  </si>
  <si>
    <t>v (mph)</t>
    <phoneticPr fontId="1" type="noConversion"/>
  </si>
  <si>
    <t>x (feet)</t>
    <phoneticPr fontId="1" type="noConversion"/>
  </si>
  <si>
    <t>Time</t>
  </si>
  <si>
    <t>Time
(sec)</t>
  </si>
  <si>
    <t>Vehicle 1</t>
  </si>
  <si>
    <t>Vehicle 2</t>
  </si>
  <si>
    <t>Vehicle 3</t>
  </si>
  <si>
    <t>Maximum Waiting time</t>
  </si>
  <si>
    <t>Average Waiting Time</t>
  </si>
  <si>
    <t>Number of Customer 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</si>
</sst>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Times New Roman"/>
      <family val="1"/>
    </font>
    <font>
      <b/>
      <sz val="11"/>
      <color rgb="FFFA7D00"/>
      <name val="Times New Roman"/>
      <family val="1"/>
    </font>
    <font>
      <sz val="12"/>
      <color theme="1"/>
      <name val="Times New Roman"/>
      <family val="1"/>
    </font>
    <font>
      <sz val="11"/>
      <color rgb="FF9C5700"/>
      <name val="Times New Roman"/>
      <family val="1"/>
    </font>
    <font>
      <sz val="11"/>
      <color rgb="FF9C0006"/>
      <name val="Times New Roman"/>
      <family val="1"/>
    </font>
    <font>
      <sz val="11"/>
      <color rgb="FF0061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32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5" applyNumberFormat="0" applyAlignment="0" applyProtection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3" fillId="2" borderId="1" xfId="27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3" xfId="0" applyNumberFormat="1" applyFont="1" applyFill="1" applyBorder="1" applyAlignment="1">
      <alignment horizontal="center" vertical="center"/>
    </xf>
    <xf numFmtId="2" fontId="4" fillId="3" borderId="4" xfId="0" applyNumberFormat="1" applyFont="1" applyFill="1" applyBorder="1" applyAlignment="1">
      <alignment horizontal="center" vertical="center"/>
    </xf>
    <xf numFmtId="0" fontId="8" fillId="7" borderId="5" xfId="3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11" fillId="0" borderId="0" xfId="0" applyNumberFormat="1" applyFont="1" applyFill="1" applyAlignment="1">
      <alignment horizontal="center" vertical="center"/>
    </xf>
    <xf numFmtId="2" fontId="11" fillId="8" borderId="0" xfId="0" applyNumberFormat="1" applyFont="1" applyFill="1" applyAlignment="1">
      <alignment horizontal="center" vertical="center"/>
    </xf>
    <xf numFmtId="0" fontId="9" fillId="7" borderId="6" xfId="31" applyFont="1" applyBorder="1" applyAlignment="1">
      <alignment horizontal="center" vertical="center" wrapText="1"/>
    </xf>
    <xf numFmtId="0" fontId="10" fillId="2" borderId="7" xfId="27" applyFont="1" applyBorder="1" applyAlignment="1">
      <alignment horizontal="center" vertical="center"/>
    </xf>
    <xf numFmtId="0" fontId="10" fillId="2" borderId="8" xfId="27" applyFont="1" applyBorder="1" applyAlignment="1">
      <alignment horizontal="center" vertical="center"/>
    </xf>
    <xf numFmtId="0" fontId="9" fillId="7" borderId="2" xfId="31" applyFont="1" applyBorder="1" applyAlignment="1">
      <alignment horizontal="center" vertical="center"/>
    </xf>
    <xf numFmtId="0" fontId="12" fillId="6" borderId="3" xfId="30" applyFont="1" applyBorder="1" applyAlignment="1">
      <alignment horizontal="center" vertical="center"/>
    </xf>
    <xf numFmtId="0" fontId="13" fillId="5" borderId="3" xfId="29" applyFont="1" applyBorder="1" applyAlignment="1">
      <alignment horizontal="center" vertical="center"/>
    </xf>
    <xf numFmtId="0" fontId="14" fillId="4" borderId="3" xfId="28" applyFont="1" applyBorder="1" applyAlignment="1">
      <alignment horizontal="center" vertical="center"/>
    </xf>
    <xf numFmtId="0" fontId="14" fillId="4" borderId="4" xfId="28" applyFon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3" fillId="2" borderId="13" xfId="27" applyNumberFormat="1" applyBorder="1" applyAlignment="1">
      <alignment horizontal="center" vertical="center"/>
    </xf>
    <xf numFmtId="2" fontId="3" fillId="2" borderId="14" xfId="27" applyNumberFormat="1" applyBorder="1" applyAlignment="1">
      <alignment horizontal="center" vertical="center"/>
    </xf>
    <xf numFmtId="2" fontId="3" fillId="2" borderId="15" xfId="27" applyNumberFormat="1" applyBorder="1" applyAlignment="1">
      <alignment horizontal="center" vertical="center"/>
    </xf>
    <xf numFmtId="2" fontId="3" fillId="2" borderId="16" xfId="27" applyNumberFormat="1" applyBorder="1" applyAlignment="1">
      <alignment horizontal="center" vertical="center"/>
    </xf>
    <xf numFmtId="2" fontId="3" fillId="2" borderId="17" xfId="27" applyNumberFormat="1" applyBorder="1" applyAlignment="1">
      <alignment horizontal="center" vertical="center"/>
    </xf>
    <xf numFmtId="2" fontId="3" fillId="2" borderId="18" xfId="27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2" borderId="13" xfId="27" applyBorder="1" applyAlignment="1">
      <alignment horizontal="center" vertical="center"/>
    </xf>
    <xf numFmtId="0" fontId="3" fillId="2" borderId="15" xfId="27" applyBorder="1" applyAlignment="1">
      <alignment horizontal="center" vertical="center"/>
    </xf>
    <xf numFmtId="0" fontId="3" fillId="2" borderId="17" xfId="27" applyBorder="1" applyAlignment="1">
      <alignment horizontal="center" vertical="center"/>
    </xf>
  </cellXfs>
  <cellStyles count="32">
    <cellStyle name="Bad" xfId="29" builtinId="27"/>
    <cellStyle name="Calculation" xfId="27" builtinId="22"/>
    <cellStyle name="Check Cell" xfId="31" builtinId="2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Good" xfId="28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eutral" xfId="30" builtinId="2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Arrival and Departure Curve</a:t>
            </a:r>
          </a:p>
        </c:rich>
      </c:tx>
      <c:layout>
        <c:manualLayout>
          <c:xMode val="edge"/>
          <c:yMode val="edge"/>
          <c:x val="0.213041557305336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4393518518518519"/>
          <c:w val="0.82327930883639555"/>
          <c:h val="0.65049394867308252"/>
        </c:manualLayout>
      </c:layout>
      <c:scatterChart>
        <c:scatterStyle val="lineMarker"/>
        <c:varyColors val="0"/>
        <c:ser>
          <c:idx val="0"/>
          <c:order val="0"/>
          <c:tx>
            <c:v>Arrival</c:v>
          </c:tx>
          <c:spPr>
            <a:ln w="19050" cap="rnd" cmpd="sng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'Question 2'!$C$2:$C$62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'Question 2'!$D$2:$D$62</c:f>
              <c:numCache>
                <c:formatCode>General</c:formatCode>
                <c:ptCount val="61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  <c:pt idx="4">
                  <c:v>32</c:v>
                </c:pt>
                <c:pt idx="5">
                  <c:v>40</c:v>
                </c:pt>
                <c:pt idx="6">
                  <c:v>48</c:v>
                </c:pt>
                <c:pt idx="7">
                  <c:v>56</c:v>
                </c:pt>
                <c:pt idx="8">
                  <c:v>64</c:v>
                </c:pt>
                <c:pt idx="9">
                  <c:v>72</c:v>
                </c:pt>
                <c:pt idx="10">
                  <c:v>80</c:v>
                </c:pt>
                <c:pt idx="11">
                  <c:v>88</c:v>
                </c:pt>
                <c:pt idx="12">
                  <c:v>96</c:v>
                </c:pt>
                <c:pt idx="13">
                  <c:v>104</c:v>
                </c:pt>
                <c:pt idx="14">
                  <c:v>112</c:v>
                </c:pt>
                <c:pt idx="15">
                  <c:v>120</c:v>
                </c:pt>
                <c:pt idx="16">
                  <c:v>128</c:v>
                </c:pt>
                <c:pt idx="17">
                  <c:v>136</c:v>
                </c:pt>
                <c:pt idx="18">
                  <c:v>144</c:v>
                </c:pt>
                <c:pt idx="19">
                  <c:v>152</c:v>
                </c:pt>
                <c:pt idx="20">
                  <c:v>160</c:v>
                </c:pt>
                <c:pt idx="21">
                  <c:v>168</c:v>
                </c:pt>
                <c:pt idx="22">
                  <c:v>176</c:v>
                </c:pt>
                <c:pt idx="23">
                  <c:v>184</c:v>
                </c:pt>
                <c:pt idx="24">
                  <c:v>192</c:v>
                </c:pt>
                <c:pt idx="25">
                  <c:v>200</c:v>
                </c:pt>
                <c:pt idx="26">
                  <c:v>208</c:v>
                </c:pt>
                <c:pt idx="27">
                  <c:v>216</c:v>
                </c:pt>
                <c:pt idx="28">
                  <c:v>224</c:v>
                </c:pt>
                <c:pt idx="29">
                  <c:v>232</c:v>
                </c:pt>
                <c:pt idx="30">
                  <c:v>240</c:v>
                </c:pt>
                <c:pt idx="31">
                  <c:v>242</c:v>
                </c:pt>
                <c:pt idx="32">
                  <c:v>244</c:v>
                </c:pt>
                <c:pt idx="33">
                  <c:v>246</c:v>
                </c:pt>
                <c:pt idx="34">
                  <c:v>248</c:v>
                </c:pt>
                <c:pt idx="35">
                  <c:v>250</c:v>
                </c:pt>
                <c:pt idx="36">
                  <c:v>252</c:v>
                </c:pt>
                <c:pt idx="37">
                  <c:v>254</c:v>
                </c:pt>
                <c:pt idx="38">
                  <c:v>256</c:v>
                </c:pt>
                <c:pt idx="39">
                  <c:v>258</c:v>
                </c:pt>
                <c:pt idx="40">
                  <c:v>260</c:v>
                </c:pt>
                <c:pt idx="41">
                  <c:v>262</c:v>
                </c:pt>
                <c:pt idx="42">
                  <c:v>264</c:v>
                </c:pt>
                <c:pt idx="43">
                  <c:v>266</c:v>
                </c:pt>
                <c:pt idx="44">
                  <c:v>268</c:v>
                </c:pt>
                <c:pt idx="45">
                  <c:v>270</c:v>
                </c:pt>
                <c:pt idx="46">
                  <c:v>272</c:v>
                </c:pt>
                <c:pt idx="47">
                  <c:v>274</c:v>
                </c:pt>
                <c:pt idx="48">
                  <c:v>276</c:v>
                </c:pt>
                <c:pt idx="49">
                  <c:v>278</c:v>
                </c:pt>
                <c:pt idx="50">
                  <c:v>280</c:v>
                </c:pt>
                <c:pt idx="51">
                  <c:v>282</c:v>
                </c:pt>
                <c:pt idx="52">
                  <c:v>284</c:v>
                </c:pt>
                <c:pt idx="53">
                  <c:v>286</c:v>
                </c:pt>
                <c:pt idx="54">
                  <c:v>288</c:v>
                </c:pt>
                <c:pt idx="55">
                  <c:v>290</c:v>
                </c:pt>
                <c:pt idx="56">
                  <c:v>292</c:v>
                </c:pt>
                <c:pt idx="57">
                  <c:v>294</c:v>
                </c:pt>
                <c:pt idx="58">
                  <c:v>296</c:v>
                </c:pt>
                <c:pt idx="59">
                  <c:v>298</c:v>
                </c:pt>
                <c:pt idx="6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18-4595-99FE-0FBBE991CD5F}"/>
            </c:ext>
          </c:extLst>
        </c:ser>
        <c:ser>
          <c:idx val="1"/>
          <c:order val="1"/>
          <c:tx>
            <c:v>Departure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'Question 2'!$C$2:$C$62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'Question 2'!$E$2:$E$62</c:f>
              <c:numCache>
                <c:formatCode>General</c:formatCod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18-4595-99FE-0FBBE991C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255887"/>
        <c:axId val="599212255"/>
      </c:scatterChart>
      <c:valAx>
        <c:axId val="931255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(minutes)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212255"/>
        <c:crosses val="autoZero"/>
        <c:crossBetween val="midCat"/>
        <c:majorUnit val="10"/>
      </c:valAx>
      <c:valAx>
        <c:axId val="59921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255887"/>
        <c:crosses val="autoZero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legend>
      <c:legendPos val="r"/>
      <c:layout>
        <c:manualLayout>
          <c:xMode val="edge"/>
          <c:yMode val="edge"/>
          <c:x val="0.65538867016622915"/>
          <c:y val="0.56097149314669004"/>
          <c:w val="0.25294466316710412"/>
          <c:h val="0.21180664916885386"/>
        </c:manualLayout>
      </c:layout>
      <c:overlay val="0"/>
      <c:spPr>
        <a:solidFill>
          <a:schemeClr val="accent6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Vehicle Trajectories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809076176132672"/>
          <c:y val="0.13036071971266752"/>
          <c:w val="0.71116530042217119"/>
          <c:h val="0.70818051526453929"/>
        </c:manualLayout>
      </c:layout>
      <c:scatterChart>
        <c:scatterStyle val="smoothMarker"/>
        <c:varyColors val="0"/>
        <c:ser>
          <c:idx val="0"/>
          <c:order val="0"/>
          <c:tx>
            <c:v>Vehicle 1</c:v>
          </c:tx>
          <c:spPr>
            <a:ln w="22225" cap="rnd">
              <a:solidFill>
                <a:srgbClr val="00B050"/>
              </a:solidFill>
              <a:round/>
              <a:headEnd w="sm" len="sm"/>
            </a:ln>
            <a:effectLst/>
          </c:spPr>
          <c:marker>
            <c:symbol val="none"/>
          </c:marker>
          <c:xVal>
            <c:numRef>
              <c:f>[1]Sheet1!$A$3:$A$103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[1]Sheet1!$D$3:$D$103</c:f>
              <c:numCache>
                <c:formatCode>General</c:formatCode>
                <c:ptCount val="101"/>
                <c:pt idx="0">
                  <c:v>300</c:v>
                </c:pt>
                <c:pt idx="1">
                  <c:v>294.53666666666669</c:v>
                </c:pt>
                <c:pt idx="2">
                  <c:v>289.1466666666667</c:v>
                </c:pt>
                <c:pt idx="3">
                  <c:v>283.83000000000004</c:v>
                </c:pt>
                <c:pt idx="4">
                  <c:v>278.5866666666667</c:v>
                </c:pt>
                <c:pt idx="5">
                  <c:v>273.41666666666669</c:v>
                </c:pt>
                <c:pt idx="6">
                  <c:v>268.32</c:v>
                </c:pt>
                <c:pt idx="7">
                  <c:v>263.29666666666668</c:v>
                </c:pt>
                <c:pt idx="8">
                  <c:v>258.34666666666669</c:v>
                </c:pt>
                <c:pt idx="9">
                  <c:v>253.47000000000003</c:v>
                </c:pt>
                <c:pt idx="10">
                  <c:v>248.66666666666669</c:v>
                </c:pt>
                <c:pt idx="11">
                  <c:v>243.9366666666667</c:v>
                </c:pt>
                <c:pt idx="12">
                  <c:v>239.28000000000003</c:v>
                </c:pt>
                <c:pt idx="13">
                  <c:v>234.69666666666669</c:v>
                </c:pt>
                <c:pt idx="14">
                  <c:v>230.1866666666667</c:v>
                </c:pt>
                <c:pt idx="15">
                  <c:v>225.75000000000003</c:v>
                </c:pt>
                <c:pt idx="16">
                  <c:v>221.38666666666668</c:v>
                </c:pt>
                <c:pt idx="17">
                  <c:v>217.09666666666669</c:v>
                </c:pt>
                <c:pt idx="18">
                  <c:v>212.88000000000002</c:v>
                </c:pt>
                <c:pt idx="19">
                  <c:v>208.73666666666668</c:v>
                </c:pt>
                <c:pt idx="20">
                  <c:v>204.66666666666669</c:v>
                </c:pt>
                <c:pt idx="21">
                  <c:v>200.67000000000002</c:v>
                </c:pt>
                <c:pt idx="22">
                  <c:v>196.74666666666667</c:v>
                </c:pt>
                <c:pt idx="23">
                  <c:v>192.89666666666668</c:v>
                </c:pt>
                <c:pt idx="24">
                  <c:v>189.12</c:v>
                </c:pt>
                <c:pt idx="25">
                  <c:v>185.41666666666669</c:v>
                </c:pt>
                <c:pt idx="26">
                  <c:v>181.78666666666669</c:v>
                </c:pt>
                <c:pt idx="27">
                  <c:v>178.23000000000002</c:v>
                </c:pt>
                <c:pt idx="28">
                  <c:v>174.7466666666667</c:v>
                </c:pt>
                <c:pt idx="29">
                  <c:v>171.3366666666667</c:v>
                </c:pt>
                <c:pt idx="30">
                  <c:v>168.00000000000003</c:v>
                </c:pt>
                <c:pt idx="31">
                  <c:v>164.73666666666671</c:v>
                </c:pt>
                <c:pt idx="32">
                  <c:v>161.54666666666671</c:v>
                </c:pt>
                <c:pt idx="33">
                  <c:v>158.43000000000004</c:v>
                </c:pt>
                <c:pt idx="34">
                  <c:v>155.38666666666671</c:v>
                </c:pt>
                <c:pt idx="35">
                  <c:v>152.41666666666671</c:v>
                </c:pt>
                <c:pt idx="36">
                  <c:v>149.52000000000004</c:v>
                </c:pt>
                <c:pt idx="37">
                  <c:v>146.69666666666672</c:v>
                </c:pt>
                <c:pt idx="38">
                  <c:v>143.94666666666672</c:v>
                </c:pt>
                <c:pt idx="39">
                  <c:v>141.27000000000004</c:v>
                </c:pt>
                <c:pt idx="40">
                  <c:v>138.66666666666671</c:v>
                </c:pt>
                <c:pt idx="41">
                  <c:v>136.13666666666671</c:v>
                </c:pt>
                <c:pt idx="42">
                  <c:v>133.68000000000004</c:v>
                </c:pt>
                <c:pt idx="43">
                  <c:v>131.29666666666671</c:v>
                </c:pt>
                <c:pt idx="44">
                  <c:v>128.98666666666671</c:v>
                </c:pt>
                <c:pt idx="45">
                  <c:v>126.75000000000004</c:v>
                </c:pt>
                <c:pt idx="46">
                  <c:v>124.58666666666672</c:v>
                </c:pt>
                <c:pt idx="47">
                  <c:v>122.49666666666671</c:v>
                </c:pt>
                <c:pt idx="48">
                  <c:v>120.48000000000005</c:v>
                </c:pt>
                <c:pt idx="49">
                  <c:v>118.53666666666672</c:v>
                </c:pt>
                <c:pt idx="50">
                  <c:v>116.66666666666671</c:v>
                </c:pt>
                <c:pt idx="51">
                  <c:v>114.87000000000005</c:v>
                </c:pt>
                <c:pt idx="52">
                  <c:v>113.14666666666672</c:v>
                </c:pt>
                <c:pt idx="53">
                  <c:v>111.49666666666671</c:v>
                </c:pt>
                <c:pt idx="54">
                  <c:v>109.92000000000004</c:v>
                </c:pt>
                <c:pt idx="55">
                  <c:v>108.41666666666671</c:v>
                </c:pt>
                <c:pt idx="56">
                  <c:v>106.98666666666671</c:v>
                </c:pt>
                <c:pt idx="57">
                  <c:v>105.63000000000004</c:v>
                </c:pt>
                <c:pt idx="58">
                  <c:v>104.34666666666671</c:v>
                </c:pt>
                <c:pt idx="59">
                  <c:v>103.13666666666671</c:v>
                </c:pt>
                <c:pt idx="60">
                  <c:v>102.00000000000004</c:v>
                </c:pt>
                <c:pt idx="61">
                  <c:v>100.93666666666671</c:v>
                </c:pt>
                <c:pt idx="62">
                  <c:v>99.946666666666715</c:v>
                </c:pt>
                <c:pt idx="63">
                  <c:v>99.030000000000044</c:v>
                </c:pt>
                <c:pt idx="64">
                  <c:v>98.18666666666671</c:v>
                </c:pt>
                <c:pt idx="65">
                  <c:v>97.416666666666714</c:v>
                </c:pt>
                <c:pt idx="66">
                  <c:v>96.720000000000041</c:v>
                </c:pt>
                <c:pt idx="67">
                  <c:v>96.096666666666707</c:v>
                </c:pt>
                <c:pt idx="68">
                  <c:v>95.546666666666709</c:v>
                </c:pt>
                <c:pt idx="69">
                  <c:v>95.070000000000036</c:v>
                </c:pt>
                <c:pt idx="70">
                  <c:v>94.6666666666667</c:v>
                </c:pt>
                <c:pt idx="71">
                  <c:v>94.336666666666702</c:v>
                </c:pt>
                <c:pt idx="72">
                  <c:v>94.080000000000041</c:v>
                </c:pt>
                <c:pt idx="73">
                  <c:v>93.896666666666704</c:v>
                </c:pt>
                <c:pt idx="74">
                  <c:v>93.786666666666704</c:v>
                </c:pt>
                <c:pt idx="75">
                  <c:v>93.750000000000043</c:v>
                </c:pt>
                <c:pt idx="76">
                  <c:v>93.750000000000043</c:v>
                </c:pt>
                <c:pt idx="77">
                  <c:v>93.750000000000043</c:v>
                </c:pt>
                <c:pt idx="78">
                  <c:v>93.750000000000043</c:v>
                </c:pt>
                <c:pt idx="79">
                  <c:v>93.750000000000043</c:v>
                </c:pt>
                <c:pt idx="80">
                  <c:v>93.750000000000043</c:v>
                </c:pt>
                <c:pt idx="81">
                  <c:v>93.750000000000043</c:v>
                </c:pt>
                <c:pt idx="82">
                  <c:v>93.750000000000043</c:v>
                </c:pt>
                <c:pt idx="83">
                  <c:v>93.750000000000043</c:v>
                </c:pt>
                <c:pt idx="84">
                  <c:v>93.750000000000043</c:v>
                </c:pt>
                <c:pt idx="85">
                  <c:v>93.750000000000043</c:v>
                </c:pt>
                <c:pt idx="86">
                  <c:v>93.750000000000043</c:v>
                </c:pt>
                <c:pt idx="87">
                  <c:v>93.750000000000043</c:v>
                </c:pt>
                <c:pt idx="88">
                  <c:v>93.750000000000043</c:v>
                </c:pt>
                <c:pt idx="89">
                  <c:v>93.750000000000043</c:v>
                </c:pt>
                <c:pt idx="90">
                  <c:v>93.750000000000043</c:v>
                </c:pt>
                <c:pt idx="91">
                  <c:v>93.750000000000043</c:v>
                </c:pt>
                <c:pt idx="92">
                  <c:v>93.750000000000043</c:v>
                </c:pt>
                <c:pt idx="93">
                  <c:v>93.750000000000043</c:v>
                </c:pt>
                <c:pt idx="94">
                  <c:v>93.750000000000043</c:v>
                </c:pt>
                <c:pt idx="95">
                  <c:v>93.750000000000043</c:v>
                </c:pt>
                <c:pt idx="96">
                  <c:v>93.750000000000043</c:v>
                </c:pt>
                <c:pt idx="97">
                  <c:v>93.750000000000043</c:v>
                </c:pt>
                <c:pt idx="98">
                  <c:v>93.750000000000043</c:v>
                </c:pt>
                <c:pt idx="99">
                  <c:v>93.750000000000043</c:v>
                </c:pt>
                <c:pt idx="100">
                  <c:v>93.750000000000043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2-41AE-8C5A-0A0EA44CEEE2}"/>
            </c:ext>
          </c:extLst>
        </c:ser>
        <c:ser>
          <c:idx val="1"/>
          <c:order val="1"/>
          <c:tx>
            <c:v>Vehicle 2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2225" cap="rnd">
                <a:solidFill>
                  <a:srgbClr val="FF0000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CB2-41AE-8C5A-0A0EA44CEEE2}"/>
              </c:ext>
            </c:extLst>
          </c:dPt>
          <c:xVal>
            <c:numRef>
              <c:f>[1]Sheet1!$A$3:$A$103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[1]Sheet1!$G$3:$G$103</c:f>
              <c:numCache>
                <c:formatCode>General</c:formatCode>
                <c:ptCount val="101"/>
                <c:pt idx="0">
                  <c:v>380</c:v>
                </c:pt>
                <c:pt idx="1">
                  <c:v>374.5</c:v>
                </c:pt>
                <c:pt idx="2">
                  <c:v>369</c:v>
                </c:pt>
                <c:pt idx="3">
                  <c:v>363.5</c:v>
                </c:pt>
                <c:pt idx="4">
                  <c:v>358</c:v>
                </c:pt>
                <c:pt idx="5">
                  <c:v>352.5</c:v>
                </c:pt>
                <c:pt idx="6">
                  <c:v>347</c:v>
                </c:pt>
                <c:pt idx="7">
                  <c:v>341.5</c:v>
                </c:pt>
                <c:pt idx="8">
                  <c:v>336</c:v>
                </c:pt>
                <c:pt idx="9">
                  <c:v>330.5</c:v>
                </c:pt>
                <c:pt idx="10">
                  <c:v>325</c:v>
                </c:pt>
                <c:pt idx="11">
                  <c:v>319.5</c:v>
                </c:pt>
                <c:pt idx="12">
                  <c:v>314.01466666666664</c:v>
                </c:pt>
                <c:pt idx="13">
                  <c:v>308.56013333333328</c:v>
                </c:pt>
                <c:pt idx="14">
                  <c:v>303.13874666666663</c:v>
                </c:pt>
                <c:pt idx="15">
                  <c:v>297.752208</c:v>
                </c:pt>
                <c:pt idx="16">
                  <c:v>292.40212480000002</c:v>
                </c:pt>
                <c:pt idx="17">
                  <c:v>287.09003648000004</c:v>
                </c:pt>
                <c:pt idx="18">
                  <c:v>281.81741815466671</c:v>
                </c:pt>
                <c:pt idx="19">
                  <c:v>276.58568336213335</c:v>
                </c:pt>
                <c:pt idx="20">
                  <c:v>271.39618663594666</c:v>
                </c:pt>
                <c:pt idx="21">
                  <c:v>266.25022596812801</c:v>
                </c:pt>
                <c:pt idx="22">
                  <c:v>261.14904516935678</c:v>
                </c:pt>
                <c:pt idx="23">
                  <c:v>256.09383613063164</c:v>
                </c:pt>
                <c:pt idx="24">
                  <c:v>251.08574099052404</c:v>
                </c:pt>
                <c:pt idx="25">
                  <c:v>246.12585421196545</c:v>
                </c:pt>
                <c:pt idx="26">
                  <c:v>241.21522457234448</c:v>
                </c:pt>
                <c:pt idx="27">
                  <c:v>236.35485707053252</c:v>
                </c:pt>
                <c:pt idx="28">
                  <c:v>231.54571475430541</c:v>
                </c:pt>
                <c:pt idx="29">
                  <c:v>226.78872047148411</c:v>
                </c:pt>
                <c:pt idx="30">
                  <c:v>222.08475854797857</c:v>
                </c:pt>
                <c:pt idx="31">
                  <c:v>217.43467639578586</c:v>
                </c:pt>
                <c:pt idx="32">
                  <c:v>212.83928605386672</c:v>
                </c:pt>
                <c:pt idx="33">
                  <c:v>208.29936566470195</c:v>
                </c:pt>
                <c:pt idx="34">
                  <c:v>203.81566088921394</c:v>
                </c:pt>
                <c:pt idx="35">
                  <c:v>199.38888626262587</c:v>
                </c:pt>
                <c:pt idx="36">
                  <c:v>195.01972649372399</c:v>
                </c:pt>
                <c:pt idx="37">
                  <c:v>190.70883770988561</c:v>
                </c:pt>
                <c:pt idx="38">
                  <c:v>186.45684865013666</c:v>
                </c:pt>
                <c:pt idx="39">
                  <c:v>182.2643618084079</c:v>
                </c:pt>
                <c:pt idx="40">
                  <c:v>178.13195452906911</c:v>
                </c:pt>
                <c:pt idx="41">
                  <c:v>174.06018005673278</c:v>
                </c:pt>
                <c:pt idx="42">
                  <c:v>170.04956854223667</c:v>
                </c:pt>
                <c:pt idx="43">
                  <c:v>166.10062800663403</c:v>
                </c:pt>
                <c:pt idx="44">
                  <c:v>162.21384526494455</c:v>
                </c:pt>
                <c:pt idx="45">
                  <c:v>158.38968681134585</c:v>
                </c:pt>
                <c:pt idx="46">
                  <c:v>154.62859966741473</c:v>
                </c:pt>
                <c:pt idx="47">
                  <c:v>150.93101219496089</c:v>
                </c:pt>
                <c:pt idx="48">
                  <c:v>147.29733487493095</c:v>
                </c:pt>
                <c:pt idx="49">
                  <c:v>143.72796105379919</c:v>
                </c:pt>
                <c:pt idx="50">
                  <c:v>140.22326765880194</c:v>
                </c:pt>
                <c:pt idx="51">
                  <c:v>136.78361588331666</c:v>
                </c:pt>
                <c:pt idx="52">
                  <c:v>133.40935184363124</c:v>
                </c:pt>
                <c:pt idx="53">
                  <c:v>130.10080720829856</c:v>
                </c:pt>
                <c:pt idx="54">
                  <c:v>126.85829980121997</c:v>
                </c:pt>
                <c:pt idx="55">
                  <c:v>123.68213417955469</c:v>
                </c:pt>
                <c:pt idx="56">
                  <c:v>120.57260218750589</c:v>
                </c:pt>
                <c:pt idx="57">
                  <c:v>117.52998348699037</c:v>
                </c:pt>
                <c:pt idx="58">
                  <c:v>114.5545460661568</c:v>
                </c:pt>
                <c:pt idx="59">
                  <c:v>111.64654672667719</c:v>
                </c:pt>
                <c:pt idx="60">
                  <c:v>108.80623155069758</c:v>
                </c:pt>
                <c:pt idx="61">
                  <c:v>106.03383634829716</c:v>
                </c:pt>
                <c:pt idx="62">
                  <c:v>103.32958708626926</c:v>
                </c:pt>
                <c:pt idx="63">
                  <c:v>100.69370029900404</c:v>
                </c:pt>
                <c:pt idx="64">
                  <c:v>98.18666666666671</c:v>
                </c:pt>
                <c:pt idx="65">
                  <c:v>97.416666666666714</c:v>
                </c:pt>
                <c:pt idx="66">
                  <c:v>96.720000000000041</c:v>
                </c:pt>
                <c:pt idx="67">
                  <c:v>96.096666666666707</c:v>
                </c:pt>
                <c:pt idx="68">
                  <c:v>95.546666666666709</c:v>
                </c:pt>
                <c:pt idx="69">
                  <c:v>95.070000000000036</c:v>
                </c:pt>
                <c:pt idx="70">
                  <c:v>94.6666666666667</c:v>
                </c:pt>
                <c:pt idx="71">
                  <c:v>94.336666666666702</c:v>
                </c:pt>
                <c:pt idx="72">
                  <c:v>94.080000000000041</c:v>
                </c:pt>
                <c:pt idx="73">
                  <c:v>93.896666666666704</c:v>
                </c:pt>
                <c:pt idx="74">
                  <c:v>93.786666666666704</c:v>
                </c:pt>
                <c:pt idx="75">
                  <c:v>93.750000000000043</c:v>
                </c:pt>
                <c:pt idx="76">
                  <c:v>93.750000000000043</c:v>
                </c:pt>
                <c:pt idx="77">
                  <c:v>93.750000000000043</c:v>
                </c:pt>
                <c:pt idx="78">
                  <c:v>93.750000000000043</c:v>
                </c:pt>
                <c:pt idx="79">
                  <c:v>93.750000000000043</c:v>
                </c:pt>
                <c:pt idx="80">
                  <c:v>93.750000000000043</c:v>
                </c:pt>
                <c:pt idx="81">
                  <c:v>93.750000000000043</c:v>
                </c:pt>
                <c:pt idx="82">
                  <c:v>93.750000000000043</c:v>
                </c:pt>
                <c:pt idx="83">
                  <c:v>93.750000000000043</c:v>
                </c:pt>
                <c:pt idx="84">
                  <c:v>93.750000000000043</c:v>
                </c:pt>
                <c:pt idx="85">
                  <c:v>93.750000000000043</c:v>
                </c:pt>
                <c:pt idx="86">
                  <c:v>93.750000000000043</c:v>
                </c:pt>
                <c:pt idx="87">
                  <c:v>93.750000000000043</c:v>
                </c:pt>
                <c:pt idx="88">
                  <c:v>93.750000000000043</c:v>
                </c:pt>
                <c:pt idx="89">
                  <c:v>93.750000000000043</c:v>
                </c:pt>
                <c:pt idx="90">
                  <c:v>93.750000000000043</c:v>
                </c:pt>
                <c:pt idx="91">
                  <c:v>93.750000000000043</c:v>
                </c:pt>
                <c:pt idx="92">
                  <c:v>93.750000000000043</c:v>
                </c:pt>
                <c:pt idx="93">
                  <c:v>93.750000000000043</c:v>
                </c:pt>
                <c:pt idx="94">
                  <c:v>93.750000000000043</c:v>
                </c:pt>
                <c:pt idx="95">
                  <c:v>93.750000000000043</c:v>
                </c:pt>
                <c:pt idx="96">
                  <c:v>93.750000000000043</c:v>
                </c:pt>
                <c:pt idx="97">
                  <c:v>93.750000000000043</c:v>
                </c:pt>
                <c:pt idx="98">
                  <c:v>93.750000000000043</c:v>
                </c:pt>
                <c:pt idx="99">
                  <c:v>93.750000000000043</c:v>
                </c:pt>
                <c:pt idx="100">
                  <c:v>93.750000000000043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B2-41AE-8C5A-0A0EA44CEEE2}"/>
            </c:ext>
          </c:extLst>
        </c:ser>
        <c:ser>
          <c:idx val="2"/>
          <c:order val="2"/>
          <c:tx>
            <c:v>Vehicle 3</c:v>
          </c:tx>
          <c:spPr>
            <a:ln w="19050" cap="rnd">
              <a:solidFill>
                <a:srgbClr val="00B0F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[1]Sheet1!$A$3:$A$103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[1]Sheet1!$J$3:$J$103</c:f>
              <c:numCache>
                <c:formatCode>General</c:formatCode>
                <c:ptCount val="101"/>
                <c:pt idx="0">
                  <c:v>460</c:v>
                </c:pt>
                <c:pt idx="1">
                  <c:v>454.5</c:v>
                </c:pt>
                <c:pt idx="2">
                  <c:v>449</c:v>
                </c:pt>
                <c:pt idx="3">
                  <c:v>443.5</c:v>
                </c:pt>
                <c:pt idx="4">
                  <c:v>438</c:v>
                </c:pt>
                <c:pt idx="5">
                  <c:v>432.5</c:v>
                </c:pt>
                <c:pt idx="6">
                  <c:v>427</c:v>
                </c:pt>
                <c:pt idx="7">
                  <c:v>421.5</c:v>
                </c:pt>
                <c:pt idx="8">
                  <c:v>416</c:v>
                </c:pt>
                <c:pt idx="9">
                  <c:v>410.5</c:v>
                </c:pt>
                <c:pt idx="10">
                  <c:v>405</c:v>
                </c:pt>
                <c:pt idx="11">
                  <c:v>399.5</c:v>
                </c:pt>
                <c:pt idx="12">
                  <c:v>394</c:v>
                </c:pt>
                <c:pt idx="13">
                  <c:v>388.5</c:v>
                </c:pt>
                <c:pt idx="14">
                  <c:v>383</c:v>
                </c:pt>
                <c:pt idx="15">
                  <c:v>377.5</c:v>
                </c:pt>
                <c:pt idx="16">
                  <c:v>372</c:v>
                </c:pt>
                <c:pt idx="17">
                  <c:v>366.5</c:v>
                </c:pt>
                <c:pt idx="18">
                  <c:v>361</c:v>
                </c:pt>
                <c:pt idx="19">
                  <c:v>355.5</c:v>
                </c:pt>
                <c:pt idx="20">
                  <c:v>350</c:v>
                </c:pt>
                <c:pt idx="21">
                  <c:v>344.50578105651198</c:v>
                </c:pt>
                <c:pt idx="22">
                  <c:v>339.02398224397649</c:v>
                </c:pt>
                <c:pt idx="23">
                  <c:v>333.55611376246782</c:v>
                </c:pt>
                <c:pt idx="24">
                  <c:v>328.10347000150972</c:v>
                </c:pt>
                <c:pt idx="25">
                  <c:v>322.66733261826295</c:v>
                </c:pt>
                <c:pt idx="26">
                  <c:v>317.24897717985021</c:v>
                </c:pt>
                <c:pt idx="27">
                  <c:v>311.84967176562498</c:v>
                </c:pt>
                <c:pt idx="28">
                  <c:v>306.47067538335142</c:v>
                </c:pt>
                <c:pt idx="29">
                  <c:v>301.11323651757436</c:v>
                </c:pt>
                <c:pt idx="30">
                  <c:v>295.77859181443921</c:v>
                </c:pt>
                <c:pt idx="31">
                  <c:v>290.46796489462224</c:v>
                </c:pt>
                <c:pt idx="32">
                  <c:v>285.18256528599051</c:v>
                </c:pt>
                <c:pt idx="33">
                  <c:v>279.92358746806372</c:v>
                </c:pt>
                <c:pt idx="34">
                  <c:v>274.69221002080542</c:v>
                </c:pt>
                <c:pt idx="35">
                  <c:v>269.4895948706976</c:v>
                </c:pt>
                <c:pt idx="36">
                  <c:v>264.31688662746063</c:v>
                </c:pt>
                <c:pt idx="37">
                  <c:v>259.17521200516444</c:v>
                </c:pt>
                <c:pt idx="38">
                  <c:v>254.06567932184163</c:v>
                </c:pt>
                <c:pt idx="39">
                  <c:v>248.98937807205715</c:v>
                </c:pt>
                <c:pt idx="40">
                  <c:v>243.94737856721562</c:v>
                </c:pt>
                <c:pt idx="41">
                  <c:v>238.94073163869632</c:v>
                </c:pt>
                <c:pt idx="42">
                  <c:v>233.97046839919713</c:v>
                </c:pt>
                <c:pt idx="43">
                  <c:v>229.03760005794524</c:v>
                </c:pt>
                <c:pt idx="44">
                  <c:v>224.14311778569348</c:v>
                </c:pt>
                <c:pt idx="45">
                  <c:v>219.2879926256677</c:v>
                </c:pt>
                <c:pt idx="46">
                  <c:v>214.47317544686442</c:v>
                </c:pt>
                <c:pt idx="47">
                  <c:v>209.69959693631822</c:v>
                </c:pt>
                <c:pt idx="48">
                  <c:v>204.96816762716691</c:v>
                </c:pt>
                <c:pt idx="49">
                  <c:v>200.27977795953927</c:v>
                </c:pt>
                <c:pt idx="50">
                  <c:v>195.63529837147649</c:v>
                </c:pt>
                <c:pt idx="51">
                  <c:v>191.03557941727357</c:v>
                </c:pt>
                <c:pt idx="52">
                  <c:v>186.48145191079325</c:v>
                </c:pt>
                <c:pt idx="53">
                  <c:v>181.97372709146165</c:v>
                </c:pt>
                <c:pt idx="54">
                  <c:v>177.51319681080184</c:v>
                </c:pt>
                <c:pt idx="55">
                  <c:v>173.10063373750199</c:v>
                </c:pt>
                <c:pt idx="56">
                  <c:v>168.73679157914538</c:v>
                </c:pt>
                <c:pt idx="57">
                  <c:v>164.42240531885415</c:v>
                </c:pt>
                <c:pt idx="58">
                  <c:v>160.15819146521522</c:v>
                </c:pt>
                <c:pt idx="59">
                  <c:v>155.94484831396733</c:v>
                </c:pt>
                <c:pt idx="60">
                  <c:v>151.78305622003165</c:v>
                </c:pt>
                <c:pt idx="61">
                  <c:v>147.6734778785667</c:v>
                </c:pt>
                <c:pt idx="62">
                  <c:v>143.61675861382</c:v>
                </c:pt>
                <c:pt idx="63">
                  <c:v>139.61352667463589</c:v>
                </c:pt>
                <c:pt idx="64">
                  <c:v>135.66439353556052</c:v>
                </c:pt>
                <c:pt idx="65">
                  <c:v>131.76995420256191</c:v>
                </c:pt>
                <c:pt idx="66">
                  <c:v>127.93078752245495</c:v>
                </c:pt>
                <c:pt idx="67">
                  <c:v>124.14745649518953</c:v>
                </c:pt>
                <c:pt idx="68">
                  <c:v>120.4205085882235</c:v>
                </c:pt>
                <c:pt idx="69">
                  <c:v>116.75047605226234</c:v>
                </c:pt>
                <c:pt idx="70">
                  <c:v>113.13787623770361</c:v>
                </c:pt>
                <c:pt idx="71">
                  <c:v>109.58321191117719</c:v>
                </c:pt>
                <c:pt idx="72">
                  <c:v>106.08697157162204</c:v>
                </c:pt>
                <c:pt idx="73">
                  <c:v>102.64962976538646</c:v>
                </c:pt>
                <c:pt idx="74">
                  <c:v>99.27164739988271</c:v>
                </c:pt>
                <c:pt idx="75">
                  <c:v>95.953472055367641</c:v>
                </c:pt>
                <c:pt idx="76">
                  <c:v>93.750000000000043</c:v>
                </c:pt>
                <c:pt idx="77">
                  <c:v>93.750000000000043</c:v>
                </c:pt>
                <c:pt idx="78">
                  <c:v>93.750000000000043</c:v>
                </c:pt>
                <c:pt idx="79">
                  <c:v>93.750000000000043</c:v>
                </c:pt>
                <c:pt idx="80">
                  <c:v>93.750000000000043</c:v>
                </c:pt>
                <c:pt idx="81">
                  <c:v>93.750000000000043</c:v>
                </c:pt>
                <c:pt idx="82">
                  <c:v>93.750000000000043</c:v>
                </c:pt>
                <c:pt idx="83">
                  <c:v>93.750000000000043</c:v>
                </c:pt>
                <c:pt idx="84">
                  <c:v>93.750000000000043</c:v>
                </c:pt>
                <c:pt idx="85">
                  <c:v>93.750000000000043</c:v>
                </c:pt>
                <c:pt idx="86">
                  <c:v>93.750000000000043</c:v>
                </c:pt>
                <c:pt idx="87">
                  <c:v>93.750000000000043</c:v>
                </c:pt>
                <c:pt idx="88">
                  <c:v>93.750000000000043</c:v>
                </c:pt>
                <c:pt idx="89">
                  <c:v>93.750000000000043</c:v>
                </c:pt>
                <c:pt idx="90">
                  <c:v>93.750000000000043</c:v>
                </c:pt>
                <c:pt idx="91">
                  <c:v>93.750000000000043</c:v>
                </c:pt>
                <c:pt idx="92">
                  <c:v>93.750000000000043</c:v>
                </c:pt>
                <c:pt idx="93">
                  <c:v>93.750000000000043</c:v>
                </c:pt>
                <c:pt idx="94">
                  <c:v>93.750000000000043</c:v>
                </c:pt>
                <c:pt idx="95">
                  <c:v>93.750000000000043</c:v>
                </c:pt>
                <c:pt idx="96">
                  <c:v>93.750000000000043</c:v>
                </c:pt>
                <c:pt idx="97">
                  <c:v>93.750000000000043</c:v>
                </c:pt>
                <c:pt idx="98">
                  <c:v>93.750000000000043</c:v>
                </c:pt>
                <c:pt idx="99">
                  <c:v>93.750000000000043</c:v>
                </c:pt>
                <c:pt idx="100">
                  <c:v>93.750000000000043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B2-41AE-8C5A-0A0EA44CE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07791"/>
        <c:axId val="921231487"/>
      </c:scatterChart>
      <c:valAx>
        <c:axId val="77630779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Time in 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231487"/>
        <c:crosses val="autoZero"/>
        <c:crossBetween val="midCat"/>
        <c:majorUnit val="1"/>
      </c:valAx>
      <c:valAx>
        <c:axId val="92123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Distance from signal</a:t>
                </a:r>
              </a:p>
            </c:rich>
          </c:tx>
          <c:layout>
            <c:manualLayout>
              <c:xMode val="edge"/>
              <c:yMode val="edge"/>
              <c:x val="5.0897408683991514E-2"/>
              <c:y val="0.290061357461896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30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07977789682583"/>
          <c:y val="0.28579760863225429"/>
          <c:w val="0.2114360223585659"/>
          <c:h val="0.18503418980522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0</xdr:row>
      <xdr:rowOff>57150</xdr:rowOff>
    </xdr:from>
    <xdr:to>
      <xdr:col>15</xdr:col>
      <xdr:colOff>240030</xdr:colOff>
      <xdr:row>14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8347BE-139A-4D9F-8107-A5DE3F564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236220</xdr:colOff>
      <xdr:row>0</xdr:row>
      <xdr:rowOff>68580</xdr:rowOff>
    </xdr:from>
    <xdr:to>
      <xdr:col>20</xdr:col>
      <xdr:colOff>76200</xdr:colOff>
      <xdr:row>19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5566A6-131C-4440-BBFC-B7187FDAA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266700</xdr:colOff>
      <xdr:row>11</xdr:row>
      <xdr:rowOff>137160</xdr:rowOff>
    </xdr:from>
    <xdr:to>
      <xdr:col>17</xdr:col>
      <xdr:colOff>525780</xdr:colOff>
      <xdr:row>13</xdr:row>
      <xdr:rowOff>106680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C1625F63-191E-47B8-AAB6-9C141BCAFF7C}"/>
            </a:ext>
          </a:extLst>
        </xdr:cNvPr>
        <xdr:cNvCxnSpPr/>
      </xdr:nvCxnSpPr>
      <xdr:spPr>
        <a:xfrm flipH="1">
          <a:off x="11666220" y="2324100"/>
          <a:ext cx="259080" cy="3657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434340</xdr:colOff>
      <xdr:row>11</xdr:row>
      <xdr:rowOff>114300</xdr:rowOff>
    </xdr:from>
    <xdr:to>
      <xdr:col>17</xdr:col>
      <xdr:colOff>365760</xdr:colOff>
      <xdr:row>13</xdr:row>
      <xdr:rowOff>129540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9078FCD-4815-4F9E-9E21-1556DBCF8E9F}"/>
            </a:ext>
          </a:extLst>
        </xdr:cNvPr>
        <xdr:cNvCxnSpPr/>
      </xdr:nvCxnSpPr>
      <xdr:spPr>
        <a:xfrm flipH="1">
          <a:off x="11163300" y="2301240"/>
          <a:ext cx="601980" cy="41148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274320</xdr:colOff>
      <xdr:row>10</xdr:row>
      <xdr:rowOff>38100</xdr:rowOff>
    </xdr:from>
    <xdr:to>
      <xdr:col>18</xdr:col>
      <xdr:colOff>556260</xdr:colOff>
      <xdr:row>11</xdr:row>
      <xdr:rowOff>83820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F8582AA-3DAE-47DF-ACB8-C4E1F2E6EA1E}"/>
            </a:ext>
          </a:extLst>
        </xdr:cNvPr>
        <xdr:cNvSpPr txBox="1"/>
      </xdr:nvSpPr>
      <xdr:spPr>
        <a:xfrm>
          <a:off x="11673840" y="2019300"/>
          <a:ext cx="95250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Collision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shg/AppData/Roaming/Microsoft/Excel/Q3%20(version%202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A3">
            <v>0</v>
          </cell>
          <cell r="D3">
            <v>300</v>
          </cell>
          <cell r="G3">
            <v>380</v>
          </cell>
          <cell r="J3">
            <v>460</v>
          </cell>
        </row>
        <row r="4">
          <cell r="A4">
            <v>0.1</v>
          </cell>
          <cell r="D4">
            <v>294.53666666666669</v>
          </cell>
          <cell r="G4">
            <v>374.5</v>
          </cell>
          <cell r="J4">
            <v>454.5</v>
          </cell>
        </row>
        <row r="5">
          <cell r="A5">
            <v>0.2</v>
          </cell>
          <cell r="D5">
            <v>289.1466666666667</v>
          </cell>
          <cell r="G5">
            <v>369</v>
          </cell>
          <cell r="J5">
            <v>449</v>
          </cell>
        </row>
        <row r="6">
          <cell r="A6">
            <v>0.3</v>
          </cell>
          <cell r="D6">
            <v>283.83000000000004</v>
          </cell>
          <cell r="G6">
            <v>363.5</v>
          </cell>
          <cell r="J6">
            <v>443.5</v>
          </cell>
        </row>
        <row r="7">
          <cell r="A7">
            <v>0.4</v>
          </cell>
          <cell r="D7">
            <v>278.5866666666667</v>
          </cell>
          <cell r="G7">
            <v>358</v>
          </cell>
          <cell r="J7">
            <v>438</v>
          </cell>
        </row>
        <row r="8">
          <cell r="A8">
            <v>0.5</v>
          </cell>
          <cell r="D8">
            <v>273.41666666666669</v>
          </cell>
          <cell r="G8">
            <v>352.5</v>
          </cell>
          <cell r="J8">
            <v>432.5</v>
          </cell>
        </row>
        <row r="9">
          <cell r="A9">
            <v>0.6</v>
          </cell>
          <cell r="D9">
            <v>268.32</v>
          </cell>
          <cell r="G9">
            <v>347</v>
          </cell>
          <cell r="J9">
            <v>427</v>
          </cell>
        </row>
        <row r="10">
          <cell r="A10">
            <v>0.7</v>
          </cell>
          <cell r="D10">
            <v>263.29666666666668</v>
          </cell>
          <cell r="G10">
            <v>341.5</v>
          </cell>
          <cell r="J10">
            <v>421.5</v>
          </cell>
        </row>
        <row r="11">
          <cell r="A11">
            <v>0.8</v>
          </cell>
          <cell r="D11">
            <v>258.34666666666669</v>
          </cell>
          <cell r="G11">
            <v>336</v>
          </cell>
          <cell r="J11">
            <v>416</v>
          </cell>
        </row>
        <row r="12">
          <cell r="A12">
            <v>0.9</v>
          </cell>
          <cell r="D12">
            <v>253.47000000000003</v>
          </cell>
          <cell r="G12">
            <v>330.5</v>
          </cell>
          <cell r="J12">
            <v>410.5</v>
          </cell>
        </row>
        <row r="13">
          <cell r="A13">
            <v>1</v>
          </cell>
          <cell r="D13">
            <v>248.66666666666669</v>
          </cell>
          <cell r="G13">
            <v>325</v>
          </cell>
          <cell r="J13">
            <v>405</v>
          </cell>
        </row>
        <row r="14">
          <cell r="A14">
            <v>1.1000000000000001</v>
          </cell>
          <cell r="D14">
            <v>243.9366666666667</v>
          </cell>
          <cell r="G14">
            <v>319.5</v>
          </cell>
          <cell r="J14">
            <v>399.5</v>
          </cell>
        </row>
        <row r="15">
          <cell r="A15">
            <v>1.2</v>
          </cell>
          <cell r="D15">
            <v>239.28000000000003</v>
          </cell>
          <cell r="G15">
            <v>314.01466666666664</v>
          </cell>
          <cell r="J15">
            <v>394</v>
          </cell>
        </row>
        <row r="16">
          <cell r="A16">
            <v>1.3</v>
          </cell>
          <cell r="D16">
            <v>234.69666666666669</v>
          </cell>
          <cell r="G16">
            <v>308.56013333333328</v>
          </cell>
          <cell r="J16">
            <v>388.5</v>
          </cell>
        </row>
        <row r="17">
          <cell r="A17">
            <v>1.4</v>
          </cell>
          <cell r="D17">
            <v>230.1866666666667</v>
          </cell>
          <cell r="G17">
            <v>303.13874666666663</v>
          </cell>
          <cell r="J17">
            <v>383</v>
          </cell>
        </row>
        <row r="18">
          <cell r="A18">
            <v>1.5</v>
          </cell>
          <cell r="D18">
            <v>225.75000000000003</v>
          </cell>
          <cell r="G18">
            <v>297.752208</v>
          </cell>
          <cell r="J18">
            <v>377.5</v>
          </cell>
        </row>
        <row r="19">
          <cell r="A19">
            <v>1.6</v>
          </cell>
          <cell r="D19">
            <v>221.38666666666668</v>
          </cell>
          <cell r="G19">
            <v>292.40212480000002</v>
          </cell>
          <cell r="J19">
            <v>372</v>
          </cell>
        </row>
        <row r="20">
          <cell r="A20">
            <v>1.7</v>
          </cell>
          <cell r="D20">
            <v>217.09666666666669</v>
          </cell>
          <cell r="G20">
            <v>287.09003648000004</v>
          </cell>
          <cell r="J20">
            <v>366.5</v>
          </cell>
        </row>
        <row r="21">
          <cell r="A21">
            <v>1.8</v>
          </cell>
          <cell r="D21">
            <v>212.88000000000002</v>
          </cell>
          <cell r="G21">
            <v>281.81741815466671</v>
          </cell>
          <cell r="J21">
            <v>361</v>
          </cell>
        </row>
        <row r="22">
          <cell r="A22">
            <v>1.9</v>
          </cell>
          <cell r="D22">
            <v>208.73666666666668</v>
          </cell>
          <cell r="G22">
            <v>276.58568336213335</v>
          </cell>
          <cell r="J22">
            <v>355.5</v>
          </cell>
        </row>
        <row r="23">
          <cell r="A23">
            <v>2</v>
          </cell>
          <cell r="D23">
            <v>204.66666666666669</v>
          </cell>
          <cell r="G23">
            <v>271.39618663594666</v>
          </cell>
          <cell r="J23">
            <v>350</v>
          </cell>
        </row>
        <row r="24">
          <cell r="A24">
            <v>2.1</v>
          </cell>
          <cell r="D24">
            <v>200.67000000000002</v>
          </cell>
          <cell r="G24">
            <v>266.25022596812801</v>
          </cell>
          <cell r="J24">
            <v>344.50578105651198</v>
          </cell>
        </row>
        <row r="25">
          <cell r="A25">
            <v>2.2000000000000002</v>
          </cell>
          <cell r="D25">
            <v>196.74666666666667</v>
          </cell>
          <cell r="G25">
            <v>261.14904516935678</v>
          </cell>
          <cell r="J25">
            <v>339.02398224397649</v>
          </cell>
        </row>
        <row r="26">
          <cell r="A26">
            <v>2.2999999999999998</v>
          </cell>
          <cell r="D26">
            <v>192.89666666666668</v>
          </cell>
          <cell r="G26">
            <v>256.09383613063164</v>
          </cell>
          <cell r="J26">
            <v>333.55611376246782</v>
          </cell>
        </row>
        <row r="27">
          <cell r="A27">
            <v>2.4</v>
          </cell>
          <cell r="D27">
            <v>189.12</v>
          </cell>
          <cell r="G27">
            <v>251.08574099052404</v>
          </cell>
          <cell r="J27">
            <v>328.10347000150972</v>
          </cell>
        </row>
        <row r="28">
          <cell r="A28">
            <v>2.5</v>
          </cell>
          <cell r="D28">
            <v>185.41666666666669</v>
          </cell>
          <cell r="G28">
            <v>246.12585421196545</v>
          </cell>
          <cell r="J28">
            <v>322.66733261826295</v>
          </cell>
        </row>
        <row r="29">
          <cell r="A29">
            <v>2.6</v>
          </cell>
          <cell r="D29">
            <v>181.78666666666669</v>
          </cell>
          <cell r="G29">
            <v>241.21522457234448</v>
          </cell>
          <cell r="J29">
            <v>317.24897717985021</v>
          </cell>
        </row>
        <row r="30">
          <cell r="A30">
            <v>2.7</v>
          </cell>
          <cell r="D30">
            <v>178.23000000000002</v>
          </cell>
          <cell r="G30">
            <v>236.35485707053252</v>
          </cell>
          <cell r="J30">
            <v>311.84967176562498</v>
          </cell>
        </row>
        <row r="31">
          <cell r="A31">
            <v>2.8</v>
          </cell>
          <cell r="D31">
            <v>174.7466666666667</v>
          </cell>
          <cell r="G31">
            <v>231.54571475430541</v>
          </cell>
          <cell r="J31">
            <v>306.47067538335142</v>
          </cell>
        </row>
        <row r="32">
          <cell r="A32">
            <v>2.9</v>
          </cell>
          <cell r="D32">
            <v>171.3366666666667</v>
          </cell>
          <cell r="G32">
            <v>226.78872047148411</v>
          </cell>
          <cell r="J32">
            <v>301.11323651757436</v>
          </cell>
        </row>
        <row r="33">
          <cell r="A33">
            <v>3</v>
          </cell>
          <cell r="D33">
            <v>168.00000000000003</v>
          </cell>
          <cell r="G33">
            <v>222.08475854797857</v>
          </cell>
          <cell r="J33">
            <v>295.77859181443921</v>
          </cell>
        </row>
        <row r="34">
          <cell r="A34">
            <v>3.1</v>
          </cell>
          <cell r="D34">
            <v>164.73666666666671</v>
          </cell>
          <cell r="G34">
            <v>217.43467639578586</v>
          </cell>
          <cell r="J34">
            <v>290.46796489462224</v>
          </cell>
        </row>
        <row r="35">
          <cell r="A35">
            <v>3.2</v>
          </cell>
          <cell r="D35">
            <v>161.54666666666671</v>
          </cell>
          <cell r="G35">
            <v>212.83928605386672</v>
          </cell>
          <cell r="J35">
            <v>285.18256528599051</v>
          </cell>
        </row>
        <row r="36">
          <cell r="A36">
            <v>3.3</v>
          </cell>
          <cell r="D36">
            <v>158.43000000000004</v>
          </cell>
          <cell r="G36">
            <v>208.29936566470195</v>
          </cell>
          <cell r="J36">
            <v>279.92358746806372</v>
          </cell>
        </row>
        <row r="37">
          <cell r="A37">
            <v>3.4</v>
          </cell>
          <cell r="D37">
            <v>155.38666666666671</v>
          </cell>
          <cell r="G37">
            <v>203.81566088921394</v>
          </cell>
          <cell r="J37">
            <v>274.69221002080542</v>
          </cell>
        </row>
        <row r="38">
          <cell r="A38">
            <v>3.5</v>
          </cell>
          <cell r="D38">
            <v>152.41666666666671</v>
          </cell>
          <cell r="G38">
            <v>199.38888626262587</v>
          </cell>
          <cell r="J38">
            <v>269.4895948706976</v>
          </cell>
        </row>
        <row r="39">
          <cell r="A39">
            <v>3.6</v>
          </cell>
          <cell r="D39">
            <v>149.52000000000004</v>
          </cell>
          <cell r="G39">
            <v>195.01972649372399</v>
          </cell>
          <cell r="J39">
            <v>264.31688662746063</v>
          </cell>
        </row>
        <row r="40">
          <cell r="A40">
            <v>3.7</v>
          </cell>
          <cell r="D40">
            <v>146.69666666666672</v>
          </cell>
          <cell r="G40">
            <v>190.70883770988561</v>
          </cell>
          <cell r="J40">
            <v>259.17521200516444</v>
          </cell>
        </row>
        <row r="41">
          <cell r="A41">
            <v>3.8</v>
          </cell>
          <cell r="D41">
            <v>143.94666666666672</v>
          </cell>
          <cell r="G41">
            <v>186.45684865013666</v>
          </cell>
          <cell r="J41">
            <v>254.06567932184163</v>
          </cell>
        </row>
        <row r="42">
          <cell r="A42">
            <v>3.9</v>
          </cell>
          <cell r="D42">
            <v>141.27000000000004</v>
          </cell>
          <cell r="G42">
            <v>182.2643618084079</v>
          </cell>
          <cell r="J42">
            <v>248.98937807205715</v>
          </cell>
        </row>
        <row r="43">
          <cell r="A43">
            <v>4</v>
          </cell>
          <cell r="D43">
            <v>138.66666666666671</v>
          </cell>
          <cell r="G43">
            <v>178.13195452906911</v>
          </cell>
          <cell r="J43">
            <v>243.94737856721562</v>
          </cell>
        </row>
        <row r="44">
          <cell r="A44">
            <v>4.0999999999999996</v>
          </cell>
          <cell r="D44">
            <v>136.13666666666671</v>
          </cell>
          <cell r="G44">
            <v>174.06018005673278</v>
          </cell>
          <cell r="J44">
            <v>238.94073163869632</v>
          </cell>
        </row>
        <row r="45">
          <cell r="A45">
            <v>4.2</v>
          </cell>
          <cell r="D45">
            <v>133.68000000000004</v>
          </cell>
          <cell r="G45">
            <v>170.04956854223667</v>
          </cell>
          <cell r="J45">
            <v>233.97046839919713</v>
          </cell>
        </row>
        <row r="46">
          <cell r="A46">
            <v>4.3</v>
          </cell>
          <cell r="D46">
            <v>131.29666666666671</v>
          </cell>
          <cell r="G46">
            <v>166.10062800663403</v>
          </cell>
          <cell r="J46">
            <v>229.03760005794524</v>
          </cell>
        </row>
        <row r="47">
          <cell r="A47">
            <v>4.4000000000000004</v>
          </cell>
          <cell r="D47">
            <v>128.98666666666671</v>
          </cell>
          <cell r="G47">
            <v>162.21384526494455</v>
          </cell>
          <cell r="J47">
            <v>224.14311778569348</v>
          </cell>
        </row>
        <row r="48">
          <cell r="A48">
            <v>4.5</v>
          </cell>
          <cell r="D48">
            <v>126.75000000000004</v>
          </cell>
          <cell r="G48">
            <v>158.38968681134585</v>
          </cell>
          <cell r="J48">
            <v>219.2879926256677</v>
          </cell>
        </row>
        <row r="49">
          <cell r="A49">
            <v>4.5999999999999996</v>
          </cell>
          <cell r="D49">
            <v>124.58666666666672</v>
          </cell>
          <cell r="G49">
            <v>154.62859966741473</v>
          </cell>
          <cell r="J49">
            <v>214.47317544686442</v>
          </cell>
        </row>
        <row r="50">
          <cell r="A50">
            <v>4.7</v>
          </cell>
          <cell r="D50">
            <v>122.49666666666671</v>
          </cell>
          <cell r="G50">
            <v>150.93101219496089</v>
          </cell>
          <cell r="J50">
            <v>209.69959693631822</v>
          </cell>
        </row>
        <row r="51">
          <cell r="A51">
            <v>4.8</v>
          </cell>
          <cell r="D51">
            <v>120.48000000000005</v>
          </cell>
          <cell r="G51">
            <v>147.29733487493095</v>
          </cell>
          <cell r="J51">
            <v>204.96816762716691</v>
          </cell>
        </row>
        <row r="52">
          <cell r="A52">
            <v>4.9000000000000004</v>
          </cell>
          <cell r="D52">
            <v>118.53666666666672</v>
          </cell>
          <cell r="G52">
            <v>143.72796105379919</v>
          </cell>
          <cell r="J52">
            <v>200.27977795953927</v>
          </cell>
        </row>
        <row r="53">
          <cell r="A53">
            <v>5</v>
          </cell>
          <cell r="D53">
            <v>116.66666666666671</v>
          </cell>
          <cell r="G53">
            <v>140.22326765880194</v>
          </cell>
          <cell r="J53">
            <v>195.63529837147649</v>
          </cell>
        </row>
        <row r="54">
          <cell r="A54">
            <v>5.0999999999999996</v>
          </cell>
          <cell r="D54">
            <v>114.87000000000005</v>
          </cell>
          <cell r="G54">
            <v>136.78361588331666</v>
          </cell>
          <cell r="J54">
            <v>191.03557941727357</v>
          </cell>
        </row>
        <row r="55">
          <cell r="A55">
            <v>5.2</v>
          </cell>
          <cell r="D55">
            <v>113.14666666666672</v>
          </cell>
          <cell r="G55">
            <v>133.40935184363124</v>
          </cell>
          <cell r="J55">
            <v>186.48145191079325</v>
          </cell>
        </row>
        <row r="56">
          <cell r="A56">
            <v>5.3</v>
          </cell>
          <cell r="D56">
            <v>111.49666666666671</v>
          </cell>
          <cell r="G56">
            <v>130.10080720829856</v>
          </cell>
          <cell r="J56">
            <v>181.97372709146165</v>
          </cell>
        </row>
        <row r="57">
          <cell r="A57">
            <v>5.4</v>
          </cell>
          <cell r="D57">
            <v>109.92000000000004</v>
          </cell>
          <cell r="G57">
            <v>126.85829980121997</v>
          </cell>
          <cell r="J57">
            <v>177.51319681080184</v>
          </cell>
        </row>
        <row r="58">
          <cell r="A58">
            <v>5.5</v>
          </cell>
          <cell r="D58">
            <v>108.41666666666671</v>
          </cell>
          <cell r="G58">
            <v>123.68213417955469</v>
          </cell>
          <cell r="J58">
            <v>173.10063373750199</v>
          </cell>
        </row>
        <row r="59">
          <cell r="A59">
            <v>5.6</v>
          </cell>
          <cell r="D59">
            <v>106.98666666666671</v>
          </cell>
          <cell r="G59">
            <v>120.57260218750589</v>
          </cell>
          <cell r="J59">
            <v>168.73679157914538</v>
          </cell>
        </row>
        <row r="60">
          <cell r="A60">
            <v>5.7</v>
          </cell>
          <cell r="D60">
            <v>105.63000000000004</v>
          </cell>
          <cell r="G60">
            <v>117.52998348699037</v>
          </cell>
          <cell r="J60">
            <v>164.42240531885415</v>
          </cell>
        </row>
        <row r="61">
          <cell r="A61">
            <v>5.8</v>
          </cell>
          <cell r="D61">
            <v>104.34666666666671</v>
          </cell>
          <cell r="G61">
            <v>114.5545460661568</v>
          </cell>
          <cell r="J61">
            <v>160.15819146521522</v>
          </cell>
        </row>
        <row r="62">
          <cell r="A62">
            <v>5.9</v>
          </cell>
          <cell r="D62">
            <v>103.13666666666671</v>
          </cell>
          <cell r="G62">
            <v>111.64654672667719</v>
          </cell>
          <cell r="J62">
            <v>155.94484831396733</v>
          </cell>
        </row>
        <row r="63">
          <cell r="A63">
            <v>6</v>
          </cell>
          <cell r="D63">
            <v>102.00000000000004</v>
          </cell>
          <cell r="G63">
            <v>108.80623155069758</v>
          </cell>
          <cell r="J63">
            <v>151.78305622003165</v>
          </cell>
        </row>
        <row r="64">
          <cell r="A64">
            <v>6.1</v>
          </cell>
          <cell r="D64">
            <v>100.93666666666671</v>
          </cell>
          <cell r="G64">
            <v>106.03383634829716</v>
          </cell>
          <cell r="J64">
            <v>147.6734778785667</v>
          </cell>
        </row>
        <row r="65">
          <cell r="A65">
            <v>6.2</v>
          </cell>
          <cell r="D65">
            <v>99.946666666666715</v>
          </cell>
          <cell r="G65">
            <v>103.32958708626926</v>
          </cell>
          <cell r="J65">
            <v>143.61675861382</v>
          </cell>
        </row>
        <row r="66">
          <cell r="A66">
            <v>6.3</v>
          </cell>
          <cell r="D66">
            <v>99.030000000000044</v>
          </cell>
          <cell r="G66">
            <v>100.69370029900404</v>
          </cell>
          <cell r="J66">
            <v>139.61352667463589</v>
          </cell>
        </row>
        <row r="67">
          <cell r="A67">
            <v>6.4</v>
          </cell>
          <cell r="D67">
            <v>98.18666666666671</v>
          </cell>
          <cell r="G67">
            <v>98.18666666666671</v>
          </cell>
          <cell r="J67">
            <v>135.66439353556052</v>
          </cell>
        </row>
        <row r="68">
          <cell r="A68">
            <v>6.5</v>
          </cell>
          <cell r="D68">
            <v>97.416666666666714</v>
          </cell>
          <cell r="G68">
            <v>97.416666666666714</v>
          </cell>
          <cell r="J68">
            <v>131.76995420256191</v>
          </cell>
        </row>
        <row r="69">
          <cell r="A69">
            <v>6.6</v>
          </cell>
          <cell r="D69">
            <v>96.720000000000041</v>
          </cell>
          <cell r="G69">
            <v>96.720000000000041</v>
          </cell>
          <cell r="J69">
            <v>127.93078752245495</v>
          </cell>
        </row>
        <row r="70">
          <cell r="A70">
            <v>6.7</v>
          </cell>
          <cell r="D70">
            <v>96.096666666666707</v>
          </cell>
          <cell r="G70">
            <v>96.096666666666707</v>
          </cell>
          <cell r="J70">
            <v>124.14745649518953</v>
          </cell>
        </row>
        <row r="71">
          <cell r="A71">
            <v>6.8</v>
          </cell>
          <cell r="D71">
            <v>95.546666666666709</v>
          </cell>
          <cell r="G71">
            <v>95.546666666666709</v>
          </cell>
          <cell r="J71">
            <v>120.4205085882235</v>
          </cell>
        </row>
        <row r="72">
          <cell r="A72">
            <v>6.9</v>
          </cell>
          <cell r="D72">
            <v>95.070000000000036</v>
          </cell>
          <cell r="G72">
            <v>95.070000000000036</v>
          </cell>
          <cell r="J72">
            <v>116.75047605226234</v>
          </cell>
        </row>
        <row r="73">
          <cell r="A73">
            <v>7</v>
          </cell>
          <cell r="D73">
            <v>94.6666666666667</v>
          </cell>
          <cell r="G73">
            <v>94.6666666666667</v>
          </cell>
          <cell r="J73">
            <v>113.13787623770361</v>
          </cell>
        </row>
        <row r="74">
          <cell r="A74">
            <v>7.1</v>
          </cell>
          <cell r="D74">
            <v>94.336666666666702</v>
          </cell>
          <cell r="G74">
            <v>94.336666666666702</v>
          </cell>
          <cell r="J74">
            <v>109.58321191117719</v>
          </cell>
        </row>
        <row r="75">
          <cell r="A75">
            <v>7.2</v>
          </cell>
          <cell r="D75">
            <v>94.080000000000041</v>
          </cell>
          <cell r="G75">
            <v>94.080000000000041</v>
          </cell>
          <cell r="J75">
            <v>106.08697157162204</v>
          </cell>
        </row>
        <row r="76">
          <cell r="A76">
            <v>7.3</v>
          </cell>
          <cell r="D76">
            <v>93.896666666666704</v>
          </cell>
          <cell r="G76">
            <v>93.896666666666704</v>
          </cell>
          <cell r="J76">
            <v>102.64962976538646</v>
          </cell>
        </row>
        <row r="77">
          <cell r="A77">
            <v>7.4</v>
          </cell>
          <cell r="D77">
            <v>93.786666666666704</v>
          </cell>
          <cell r="G77">
            <v>93.786666666666704</v>
          </cell>
          <cell r="J77">
            <v>99.27164739988271</v>
          </cell>
        </row>
        <row r="78">
          <cell r="A78">
            <v>7.5</v>
          </cell>
          <cell r="D78">
            <v>93.750000000000043</v>
          </cell>
          <cell r="G78">
            <v>93.750000000000043</v>
          </cell>
          <cell r="J78">
            <v>95.953472055367641</v>
          </cell>
        </row>
        <row r="79">
          <cell r="A79">
            <v>7.6</v>
          </cell>
          <cell r="D79">
            <v>93.750000000000043</v>
          </cell>
          <cell r="G79">
            <v>93.750000000000043</v>
          </cell>
          <cell r="J79">
            <v>93.750000000000043</v>
          </cell>
        </row>
        <row r="80">
          <cell r="A80">
            <v>7.7</v>
          </cell>
          <cell r="D80">
            <v>93.750000000000043</v>
          </cell>
          <cell r="G80">
            <v>93.750000000000043</v>
          </cell>
          <cell r="J80">
            <v>93.750000000000043</v>
          </cell>
        </row>
        <row r="81">
          <cell r="A81">
            <v>7.8</v>
          </cell>
          <cell r="D81">
            <v>93.750000000000043</v>
          </cell>
          <cell r="G81">
            <v>93.750000000000043</v>
          </cell>
          <cell r="J81">
            <v>93.750000000000043</v>
          </cell>
        </row>
        <row r="82">
          <cell r="A82">
            <v>7.9</v>
          </cell>
          <cell r="D82">
            <v>93.750000000000043</v>
          </cell>
          <cell r="G82">
            <v>93.750000000000043</v>
          </cell>
          <cell r="J82">
            <v>93.750000000000043</v>
          </cell>
        </row>
        <row r="83">
          <cell r="A83">
            <v>8</v>
          </cell>
          <cell r="D83">
            <v>93.750000000000043</v>
          </cell>
          <cell r="G83">
            <v>93.750000000000043</v>
          </cell>
          <cell r="J83">
            <v>93.750000000000043</v>
          </cell>
        </row>
        <row r="84">
          <cell r="A84">
            <v>8.1</v>
          </cell>
          <cell r="D84">
            <v>93.750000000000043</v>
          </cell>
          <cell r="G84">
            <v>93.750000000000043</v>
          </cell>
          <cell r="J84">
            <v>93.750000000000043</v>
          </cell>
        </row>
        <row r="85">
          <cell r="A85">
            <v>8.1999999999999993</v>
          </cell>
          <cell r="D85">
            <v>93.750000000000043</v>
          </cell>
          <cell r="G85">
            <v>93.750000000000043</v>
          </cell>
          <cell r="J85">
            <v>93.750000000000043</v>
          </cell>
        </row>
        <row r="86">
          <cell r="A86">
            <v>8.3000000000000007</v>
          </cell>
          <cell r="D86">
            <v>93.750000000000043</v>
          </cell>
          <cell r="G86">
            <v>93.750000000000043</v>
          </cell>
          <cell r="J86">
            <v>93.750000000000043</v>
          </cell>
        </row>
        <row r="87">
          <cell r="A87">
            <v>8.4</v>
          </cell>
          <cell r="D87">
            <v>93.750000000000043</v>
          </cell>
          <cell r="G87">
            <v>93.750000000000043</v>
          </cell>
          <cell r="J87">
            <v>93.750000000000043</v>
          </cell>
        </row>
        <row r="88">
          <cell r="A88">
            <v>8.5</v>
          </cell>
          <cell r="D88">
            <v>93.750000000000043</v>
          </cell>
          <cell r="G88">
            <v>93.750000000000043</v>
          </cell>
          <cell r="J88">
            <v>93.750000000000043</v>
          </cell>
        </row>
        <row r="89">
          <cell r="A89">
            <v>8.6</v>
          </cell>
          <cell r="D89">
            <v>93.750000000000043</v>
          </cell>
          <cell r="G89">
            <v>93.750000000000043</v>
          </cell>
          <cell r="J89">
            <v>93.750000000000043</v>
          </cell>
        </row>
        <row r="90">
          <cell r="A90">
            <v>8.6999999999999993</v>
          </cell>
          <cell r="D90">
            <v>93.750000000000043</v>
          </cell>
          <cell r="G90">
            <v>93.750000000000043</v>
          </cell>
          <cell r="J90">
            <v>93.750000000000043</v>
          </cell>
        </row>
        <row r="91">
          <cell r="A91">
            <v>8.8000000000000007</v>
          </cell>
          <cell r="D91">
            <v>93.750000000000043</v>
          </cell>
          <cell r="G91">
            <v>93.750000000000043</v>
          </cell>
          <cell r="J91">
            <v>93.750000000000043</v>
          </cell>
        </row>
        <row r="92">
          <cell r="A92">
            <v>8.9</v>
          </cell>
          <cell r="D92">
            <v>93.750000000000043</v>
          </cell>
          <cell r="G92">
            <v>93.750000000000043</v>
          </cell>
          <cell r="J92">
            <v>93.750000000000043</v>
          </cell>
        </row>
        <row r="93">
          <cell r="A93">
            <v>9</v>
          </cell>
          <cell r="D93">
            <v>93.750000000000043</v>
          </cell>
          <cell r="G93">
            <v>93.750000000000043</v>
          </cell>
          <cell r="J93">
            <v>93.750000000000043</v>
          </cell>
        </row>
        <row r="94">
          <cell r="A94">
            <v>9.1</v>
          </cell>
          <cell r="D94">
            <v>93.750000000000043</v>
          </cell>
          <cell r="G94">
            <v>93.750000000000043</v>
          </cell>
          <cell r="J94">
            <v>93.750000000000043</v>
          </cell>
        </row>
        <row r="95">
          <cell r="A95">
            <v>9.1999999999999993</v>
          </cell>
          <cell r="D95">
            <v>93.750000000000043</v>
          </cell>
          <cell r="G95">
            <v>93.750000000000043</v>
          </cell>
          <cell r="J95">
            <v>93.750000000000043</v>
          </cell>
        </row>
        <row r="96">
          <cell r="A96">
            <v>9.3000000000000007</v>
          </cell>
          <cell r="D96">
            <v>93.750000000000043</v>
          </cell>
          <cell r="G96">
            <v>93.750000000000043</v>
          </cell>
          <cell r="J96">
            <v>93.750000000000043</v>
          </cell>
        </row>
        <row r="97">
          <cell r="A97">
            <v>9.4</v>
          </cell>
          <cell r="D97">
            <v>93.750000000000043</v>
          </cell>
          <cell r="G97">
            <v>93.750000000000043</v>
          </cell>
          <cell r="J97">
            <v>93.750000000000043</v>
          </cell>
        </row>
        <row r="98">
          <cell r="A98">
            <v>9.5</v>
          </cell>
          <cell r="D98">
            <v>93.750000000000043</v>
          </cell>
          <cell r="G98">
            <v>93.750000000000043</v>
          </cell>
          <cell r="J98">
            <v>93.750000000000043</v>
          </cell>
        </row>
        <row r="99">
          <cell r="A99">
            <v>9.6</v>
          </cell>
          <cell r="D99">
            <v>93.750000000000043</v>
          </cell>
          <cell r="G99">
            <v>93.750000000000043</v>
          </cell>
          <cell r="J99">
            <v>93.750000000000043</v>
          </cell>
        </row>
        <row r="100">
          <cell r="A100">
            <v>9.6999999999999993</v>
          </cell>
          <cell r="D100">
            <v>93.750000000000043</v>
          </cell>
          <cell r="G100">
            <v>93.750000000000043</v>
          </cell>
          <cell r="J100">
            <v>93.750000000000043</v>
          </cell>
        </row>
        <row r="101">
          <cell r="A101">
            <v>9.8000000000000007</v>
          </cell>
          <cell r="D101">
            <v>93.750000000000043</v>
          </cell>
          <cell r="G101">
            <v>93.750000000000043</v>
          </cell>
          <cell r="J101">
            <v>93.750000000000043</v>
          </cell>
        </row>
        <row r="102">
          <cell r="A102">
            <v>9.9</v>
          </cell>
          <cell r="D102">
            <v>93.750000000000043</v>
          </cell>
          <cell r="G102">
            <v>93.750000000000043</v>
          </cell>
          <cell r="J102">
            <v>93.750000000000043</v>
          </cell>
        </row>
        <row r="103">
          <cell r="A103">
            <v>10</v>
          </cell>
          <cell r="D103">
            <v>93.750000000000043</v>
          </cell>
          <cell r="G103">
            <v>93.750000000000043</v>
          </cell>
          <cell r="J103">
            <v>93.750000000000043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7A69-E767-4F80-84AD-0CF878B5F84A}">
  <dimension ref="A1:U39"/>
  <sheetViews>
    <sheetView tabSelected="1" workbookViewId="0">
      <selection activeCell="A2" sqref="A2"/>
    </sheetView>
  </sheetViews>
  <sheetFormatPr defaultRowHeight="15.6"/>
  <cols>
    <col min="1" max="1" width="8" style="1" bestFit="1" customWidth="1"/>
    <col min="2" max="2" width="21.8984375" style="1" bestFit="1" customWidth="1"/>
    <col min="3" max="3" width="26.3984375" style="1" bestFit="1" customWidth="1"/>
    <col min="4" max="4" width="12.3984375" style="1" bestFit="1" customWidth="1"/>
    <col min="5" max="5" width="16" style="1" bestFit="1" customWidth="1"/>
    <col min="6" max="6" width="15.19921875" style="1" bestFit="1" customWidth="1"/>
    <col min="7" max="7" width="27.296875" style="1" bestFit="1" customWidth="1"/>
    <col min="8" max="8" width="11.3984375" style="1" bestFit="1" customWidth="1"/>
    <col min="9" max="9" width="12.3984375" style="1" bestFit="1" customWidth="1"/>
    <col min="10" max="10" width="10.3984375" style="1" bestFit="1" customWidth="1"/>
    <col min="11" max="11" width="17.09765625" style="1" bestFit="1" customWidth="1"/>
    <col min="12" max="13" width="8.796875" style="1"/>
    <col min="14" max="15" width="11.8984375" style="1" bestFit="1" customWidth="1"/>
    <col min="16" max="16" width="8.796875" style="1"/>
    <col min="17" max="17" width="19.796875" style="1" bestFit="1" customWidth="1"/>
    <col min="18" max="18" width="13.19921875" style="1" bestFit="1" customWidth="1"/>
    <col min="19" max="16384" width="8.796875" style="1"/>
  </cols>
  <sheetData>
    <row r="1" spans="1:2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23</v>
      </c>
      <c r="J1" s="2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10</v>
      </c>
      <c r="P1" s="1" t="s">
        <v>11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</row>
    <row r="2" spans="1:21" ht="16.2" thickBot="1">
      <c r="A2" s="1">
        <v>1</v>
      </c>
      <c r="B2" s="3">
        <v>1.6036499385793193</v>
      </c>
      <c r="C2" s="3">
        <v>3.7333333333333334</v>
      </c>
      <c r="D2" s="3">
        <v>1.6036499385793193</v>
      </c>
      <c r="E2" s="3">
        <v>1.6036499385793193</v>
      </c>
      <c r="F2" s="3">
        <v>5.3369832719126524</v>
      </c>
      <c r="G2" s="3">
        <v>0</v>
      </c>
      <c r="H2" s="4">
        <v>14.102008720347328</v>
      </c>
      <c r="I2" s="5">
        <f>SUM(G2:G39)</f>
        <v>193.94688588334668</v>
      </c>
      <c r="J2" s="6">
        <v>5.1038654179828074</v>
      </c>
      <c r="K2" s="3">
        <v>0</v>
      </c>
      <c r="L2" s="3">
        <v>2.2903225806451615</v>
      </c>
      <c r="M2" s="3">
        <v>4</v>
      </c>
      <c r="N2" s="3">
        <v>3.7333333333333334</v>
      </c>
      <c r="O2" s="3">
        <v>8.4889531372810527</v>
      </c>
      <c r="P2" s="3">
        <v>18.535342053680665</v>
      </c>
      <c r="Q2" s="3">
        <v>12.447368421052632</v>
      </c>
      <c r="R2" s="3">
        <v>0</v>
      </c>
      <c r="S2" s="3">
        <v>0</v>
      </c>
      <c r="T2" s="3">
        <v>0</v>
      </c>
      <c r="U2" s="3">
        <v>0</v>
      </c>
    </row>
    <row r="3" spans="1:21">
      <c r="A3" s="1">
        <v>2</v>
      </c>
      <c r="B3" s="3">
        <v>2.488860131972757</v>
      </c>
      <c r="C3" s="3">
        <v>3.8</v>
      </c>
      <c r="D3" s="3">
        <v>4.0925100705520761</v>
      </c>
      <c r="E3" s="3">
        <v>5.3369832719126524</v>
      </c>
      <c r="F3" s="3">
        <v>9.1369832719126514</v>
      </c>
      <c r="G3" s="3">
        <v>1.2444732013605764</v>
      </c>
      <c r="H3" s="3"/>
      <c r="I3" s="3"/>
      <c r="J3" s="3"/>
      <c r="K3" s="3">
        <v>1</v>
      </c>
      <c r="L3" s="3">
        <v>31</v>
      </c>
      <c r="M3" s="3"/>
      <c r="N3" s="3">
        <v>5.0444732013605753</v>
      </c>
      <c r="O3" s="3"/>
      <c r="P3" s="3"/>
      <c r="Q3" s="3"/>
      <c r="R3" s="3">
        <v>60</v>
      </c>
      <c r="S3" s="3">
        <v>20</v>
      </c>
      <c r="T3" s="3">
        <v>60</v>
      </c>
      <c r="U3" s="3">
        <v>16</v>
      </c>
    </row>
    <row r="4" spans="1:21">
      <c r="A4" s="1">
        <v>3</v>
      </c>
      <c r="B4" s="3">
        <v>1.5704982930777645</v>
      </c>
      <c r="C4" s="3">
        <v>2.5666666666666669</v>
      </c>
      <c r="D4" s="3">
        <v>5.6630083636298405</v>
      </c>
      <c r="E4" s="3">
        <v>9.1369832719126514</v>
      </c>
      <c r="F4" s="3">
        <v>11.703649938579318</v>
      </c>
      <c r="G4" s="3">
        <v>3.4739749082828109</v>
      </c>
      <c r="H4" s="3"/>
      <c r="I4" s="3"/>
      <c r="J4" s="3"/>
      <c r="K4" s="3">
        <v>1</v>
      </c>
      <c r="L4" s="3"/>
      <c r="M4" s="3"/>
      <c r="N4" s="3">
        <v>6.0406415749494773</v>
      </c>
      <c r="O4" s="3"/>
      <c r="P4" s="3"/>
      <c r="Q4" s="3"/>
      <c r="R4" s="3">
        <v>120</v>
      </c>
      <c r="S4" s="3">
        <v>34</v>
      </c>
      <c r="T4" s="3">
        <v>120</v>
      </c>
      <c r="U4" s="3">
        <v>32</v>
      </c>
    </row>
    <row r="5" spans="1:21" ht="16.2" thickBot="1">
      <c r="A5" s="1">
        <v>4</v>
      </c>
      <c r="B5" s="3">
        <v>2.2699052747788122</v>
      </c>
      <c r="C5" s="3">
        <v>3.55</v>
      </c>
      <c r="D5" s="3">
        <v>7.9329136384086532</v>
      </c>
      <c r="E5" s="3">
        <v>11.703649938579318</v>
      </c>
      <c r="F5" s="3">
        <v>15.253649938579319</v>
      </c>
      <c r="G5" s="3">
        <v>3.7707363001706646</v>
      </c>
      <c r="H5" s="3"/>
      <c r="I5" s="3"/>
      <c r="J5" s="3"/>
      <c r="K5" s="3">
        <v>2</v>
      </c>
      <c r="L5" s="3"/>
      <c r="M5" s="3"/>
      <c r="N5" s="3">
        <v>7.3207363001706653</v>
      </c>
      <c r="O5" s="3"/>
      <c r="P5" s="3"/>
      <c r="Q5" s="3"/>
      <c r="R5" s="3">
        <v>180</v>
      </c>
      <c r="S5" s="3">
        <v>38</v>
      </c>
      <c r="T5" s="3">
        <v>180</v>
      </c>
      <c r="U5" s="3">
        <v>38</v>
      </c>
    </row>
    <row r="6" spans="1:21">
      <c r="A6" s="1">
        <v>5</v>
      </c>
      <c r="B6" s="3">
        <v>2.9084716710656742</v>
      </c>
      <c r="C6" s="3">
        <v>3.2</v>
      </c>
      <c r="D6" s="3">
        <v>10.841385309474328</v>
      </c>
      <c r="E6" s="3">
        <v>15.253649938579319</v>
      </c>
      <c r="F6" s="3">
        <v>18.453649938579318</v>
      </c>
      <c r="G6" s="3">
        <v>4.4122646291049907</v>
      </c>
      <c r="H6" s="23" t="s">
        <v>37</v>
      </c>
      <c r="I6" s="24"/>
      <c r="J6" s="20">
        <f>COUNTIF(D2:D39,"&lt;"&amp;120)</f>
        <v>34</v>
      </c>
      <c r="K6" s="3">
        <v>2</v>
      </c>
      <c r="L6" s="3"/>
      <c r="M6" s="3"/>
      <c r="N6" s="3">
        <v>7.61226462910499</v>
      </c>
      <c r="O6" s="3"/>
      <c r="P6" s="3"/>
      <c r="Q6" s="3"/>
      <c r="R6" s="3">
        <v>240</v>
      </c>
      <c r="S6" s="3">
        <v>38</v>
      </c>
      <c r="T6" s="3">
        <v>240</v>
      </c>
      <c r="U6" s="3">
        <v>38</v>
      </c>
    </row>
    <row r="7" spans="1:21">
      <c r="A7" s="1">
        <v>6</v>
      </c>
      <c r="B7" s="3">
        <v>0.91460722414822748</v>
      </c>
      <c r="C7" s="3">
        <v>2.65</v>
      </c>
      <c r="D7" s="3">
        <v>11.755992533622555</v>
      </c>
      <c r="E7" s="3">
        <v>18.453649938579318</v>
      </c>
      <c r="F7" s="3">
        <v>21.103649938579316</v>
      </c>
      <c r="G7" s="3">
        <v>6.6976574049567628</v>
      </c>
      <c r="H7" s="25" t="s">
        <v>35</v>
      </c>
      <c r="I7" s="26"/>
      <c r="J7" s="21">
        <f>H2</f>
        <v>14.102008720347328</v>
      </c>
      <c r="K7" s="3">
        <v>2</v>
      </c>
      <c r="L7" s="3"/>
      <c r="M7" s="3"/>
      <c r="N7" s="3">
        <v>9.3476574049567613</v>
      </c>
      <c r="O7" s="3"/>
      <c r="P7" s="3"/>
      <c r="Q7" s="3"/>
      <c r="R7" s="3">
        <v>300</v>
      </c>
      <c r="S7" s="3">
        <v>38</v>
      </c>
      <c r="T7" s="3">
        <v>300</v>
      </c>
      <c r="U7" s="3">
        <v>38</v>
      </c>
    </row>
    <row r="8" spans="1:21">
      <c r="A8" s="1">
        <v>7</v>
      </c>
      <c r="B8" s="3">
        <v>5.5149678153393902</v>
      </c>
      <c r="C8" s="3">
        <v>3.7666666666666666</v>
      </c>
      <c r="D8" s="3">
        <v>17.270960348961946</v>
      </c>
      <c r="E8" s="3">
        <v>21.103649938579316</v>
      </c>
      <c r="F8" s="3">
        <v>24.870316605245982</v>
      </c>
      <c r="G8" s="3">
        <v>3.8326895896173703</v>
      </c>
      <c r="H8" s="25" t="s">
        <v>36</v>
      </c>
      <c r="I8" s="26"/>
      <c r="J8" s="21">
        <f>J2</f>
        <v>5.1038654179828074</v>
      </c>
      <c r="K8" s="3">
        <v>2</v>
      </c>
      <c r="L8" s="3"/>
      <c r="M8" s="3"/>
      <c r="N8" s="3">
        <v>7.599356256284036</v>
      </c>
      <c r="O8" s="3"/>
      <c r="P8" s="3"/>
      <c r="Q8" s="3"/>
      <c r="R8" s="3">
        <v>360</v>
      </c>
      <c r="S8" s="3">
        <v>38</v>
      </c>
      <c r="T8" s="3">
        <v>360</v>
      </c>
      <c r="U8" s="3">
        <v>38</v>
      </c>
    </row>
    <row r="9" spans="1:21" ht="16.2" thickBot="1">
      <c r="A9" s="1">
        <v>8</v>
      </c>
      <c r="B9" s="3">
        <v>1.1911434257710345</v>
      </c>
      <c r="C9" s="3">
        <v>4.3833333333333337</v>
      </c>
      <c r="D9" s="3">
        <v>18.462103774732981</v>
      </c>
      <c r="E9" s="3">
        <v>24.870316605245982</v>
      </c>
      <c r="F9" s="3">
        <v>29.253649938579315</v>
      </c>
      <c r="G9" s="3">
        <v>6.4082128305130013</v>
      </c>
      <c r="H9" s="27" t="s">
        <v>23</v>
      </c>
      <c r="I9" s="28"/>
      <c r="J9" s="22">
        <f>I2</f>
        <v>193.94688588334668</v>
      </c>
      <c r="K9" s="3">
        <v>2</v>
      </c>
      <c r="L9" s="3"/>
      <c r="M9" s="3"/>
      <c r="N9" s="3">
        <v>10.791546163846334</v>
      </c>
      <c r="O9" s="3"/>
      <c r="P9" s="3"/>
      <c r="Q9" s="3"/>
      <c r="R9" s="3">
        <v>420</v>
      </c>
      <c r="S9" s="3">
        <v>38</v>
      </c>
      <c r="T9" s="3">
        <v>420</v>
      </c>
      <c r="U9" s="3">
        <v>38</v>
      </c>
    </row>
    <row r="10" spans="1:21">
      <c r="A10" s="1">
        <v>9</v>
      </c>
      <c r="B10" s="3">
        <v>9.2428118481618929E-2</v>
      </c>
      <c r="C10" s="3">
        <v>3.5166666666666666</v>
      </c>
      <c r="D10" s="3">
        <v>18.554531893214598</v>
      </c>
      <c r="E10" s="3">
        <v>29.253649938579315</v>
      </c>
      <c r="F10" s="3">
        <v>32.770316605245981</v>
      </c>
      <c r="G10" s="3">
        <v>10.699118045364717</v>
      </c>
      <c r="I10" s="3"/>
      <c r="J10" s="3"/>
      <c r="K10" s="3">
        <v>3</v>
      </c>
      <c r="L10" s="3"/>
      <c r="M10" s="3"/>
      <c r="N10" s="3">
        <v>14.215784712031382</v>
      </c>
      <c r="O10" s="3"/>
      <c r="P10" s="3"/>
      <c r="Q10" s="3"/>
      <c r="R10" s="3">
        <v>480</v>
      </c>
      <c r="S10" s="3">
        <v>38</v>
      </c>
      <c r="T10" s="3">
        <v>480</v>
      </c>
      <c r="U10" s="3">
        <v>38</v>
      </c>
    </row>
    <row r="11" spans="1:21">
      <c r="A11" s="1">
        <v>10</v>
      </c>
      <c r="B11" s="3">
        <v>2.5933007502436385</v>
      </c>
      <c r="C11" s="3">
        <v>2.7833333333333332</v>
      </c>
      <c r="D11" s="3">
        <v>21.147832643458237</v>
      </c>
      <c r="E11" s="3">
        <v>32.770316605245981</v>
      </c>
      <c r="F11" s="3">
        <v>35.553649938579312</v>
      </c>
      <c r="G11" s="3">
        <v>11.622483961787744</v>
      </c>
      <c r="H11" s="3"/>
      <c r="I11" s="3"/>
      <c r="J11" s="3"/>
      <c r="K11" s="3">
        <v>3</v>
      </c>
      <c r="L11" s="3"/>
      <c r="M11" s="3"/>
      <c r="N11" s="3">
        <v>14.405817295121075</v>
      </c>
      <c r="O11" s="3"/>
      <c r="P11" s="3"/>
      <c r="Q11" s="3"/>
      <c r="R11" s="3">
        <v>540</v>
      </c>
      <c r="S11" s="3">
        <v>38</v>
      </c>
      <c r="T11" s="3">
        <v>540</v>
      </c>
      <c r="U11" s="3">
        <v>38</v>
      </c>
    </row>
    <row r="12" spans="1:21">
      <c r="A12" s="1">
        <v>11</v>
      </c>
      <c r="B12" s="3">
        <v>3.4357259526595736</v>
      </c>
      <c r="C12" s="3">
        <v>2.8</v>
      </c>
      <c r="D12" s="3">
        <v>24.583558596117811</v>
      </c>
      <c r="E12" s="3">
        <v>35.553649938579312</v>
      </c>
      <c r="F12" s="3">
        <v>38.353649938579309</v>
      </c>
      <c r="G12" s="3">
        <v>10.970091342461501</v>
      </c>
      <c r="H12" s="3"/>
      <c r="I12" s="3"/>
      <c r="J12" s="3"/>
      <c r="K12" s="3">
        <v>4</v>
      </c>
      <c r="L12" s="3"/>
      <c r="M12" s="3"/>
      <c r="N12" s="3">
        <v>13.770091342461498</v>
      </c>
      <c r="O12" s="3"/>
      <c r="P12" s="3"/>
      <c r="Q12" s="3"/>
      <c r="R12" s="3">
        <v>600</v>
      </c>
      <c r="S12" s="3">
        <v>38</v>
      </c>
      <c r="T12" s="3">
        <v>600</v>
      </c>
      <c r="U12" s="3">
        <v>38</v>
      </c>
    </row>
    <row r="13" spans="1:21">
      <c r="A13" s="1">
        <v>12</v>
      </c>
      <c r="B13" s="3">
        <v>7.6557539841081557</v>
      </c>
      <c r="C13" s="3">
        <v>2.6166666666666667</v>
      </c>
      <c r="D13" s="3">
        <v>32.23931258022597</v>
      </c>
      <c r="E13" s="3">
        <v>38.353649938579309</v>
      </c>
      <c r="F13" s="3">
        <v>40.970316605245976</v>
      </c>
      <c r="G13" s="3">
        <v>6.1143373583533389</v>
      </c>
      <c r="H13" s="3"/>
      <c r="I13" s="3"/>
      <c r="J13" s="3"/>
      <c r="K13" s="3">
        <v>3</v>
      </c>
      <c r="L13" s="3"/>
      <c r="M13" s="3"/>
      <c r="N13" s="3">
        <v>8.7310040250200061</v>
      </c>
      <c r="O13" s="3"/>
      <c r="P13" s="3"/>
      <c r="Q13" s="3"/>
      <c r="R13" s="3">
        <v>660</v>
      </c>
      <c r="S13" s="3">
        <v>38</v>
      </c>
      <c r="T13" s="3">
        <v>660</v>
      </c>
      <c r="U13" s="3">
        <v>38</v>
      </c>
    </row>
    <row r="14" spans="1:21">
      <c r="A14" s="1">
        <v>13</v>
      </c>
      <c r="B14" s="3">
        <v>7.7960758664154408</v>
      </c>
      <c r="C14" s="3">
        <v>3.4666666666666668</v>
      </c>
      <c r="D14" s="3">
        <v>40.035388446641413</v>
      </c>
      <c r="E14" s="3">
        <v>40.970316605245976</v>
      </c>
      <c r="F14" s="3">
        <v>44.436983271912645</v>
      </c>
      <c r="G14" s="3">
        <v>0.93492815860456346</v>
      </c>
      <c r="H14" s="3"/>
      <c r="I14" s="3"/>
      <c r="J14" s="3"/>
      <c r="K14" s="3">
        <v>1</v>
      </c>
      <c r="L14" s="3"/>
      <c r="M14" s="3"/>
      <c r="N14" s="3">
        <v>4.401594825271232</v>
      </c>
      <c r="O14" s="3"/>
      <c r="P14" s="3"/>
      <c r="Q14" s="3"/>
      <c r="R14" s="3">
        <v>720</v>
      </c>
      <c r="S14" s="3">
        <v>38</v>
      </c>
      <c r="T14" s="3">
        <v>720</v>
      </c>
      <c r="U14" s="3">
        <v>38</v>
      </c>
    </row>
    <row r="15" spans="1:21">
      <c r="A15" s="1">
        <v>14</v>
      </c>
      <c r="B15" s="3">
        <v>5.8256188556058834</v>
      </c>
      <c r="C15" s="3">
        <v>4.2666666666666666</v>
      </c>
      <c r="D15" s="3">
        <v>45.861007302247295</v>
      </c>
      <c r="E15" s="3">
        <v>45.861007302247295</v>
      </c>
      <c r="F15" s="3">
        <v>50.12767396891396</v>
      </c>
      <c r="G15" s="3">
        <v>0</v>
      </c>
      <c r="H15" s="3"/>
      <c r="I15" s="3"/>
      <c r="J15" s="3"/>
      <c r="K15" s="3">
        <v>0</v>
      </c>
      <c r="L15" s="3"/>
      <c r="M15" s="3"/>
      <c r="N15" s="3">
        <v>4.2666666666666657</v>
      </c>
      <c r="O15" s="3"/>
      <c r="P15" s="3"/>
      <c r="Q15" s="3"/>
      <c r="R15" s="3">
        <v>780</v>
      </c>
      <c r="S15" s="3">
        <v>38</v>
      </c>
      <c r="T15" s="3">
        <v>780</v>
      </c>
      <c r="U15" s="3">
        <v>38</v>
      </c>
    </row>
    <row r="16" spans="1:21">
      <c r="A16" s="1">
        <v>15</v>
      </c>
      <c r="B16" s="3">
        <v>1.8425981833451226</v>
      </c>
      <c r="C16" s="3">
        <v>3.3666666666666667</v>
      </c>
      <c r="D16" s="3">
        <v>47.703605485592419</v>
      </c>
      <c r="E16" s="3">
        <v>50.12767396891396</v>
      </c>
      <c r="F16" s="3">
        <v>53.494340635580627</v>
      </c>
      <c r="G16" s="3">
        <v>2.4240684833215411</v>
      </c>
      <c r="H16" s="3"/>
      <c r="I16" s="3"/>
      <c r="J16" s="3"/>
      <c r="K16" s="3">
        <v>1</v>
      </c>
      <c r="L16" s="3"/>
      <c r="M16" s="3"/>
      <c r="N16" s="3">
        <v>5.7907351499882083</v>
      </c>
      <c r="O16" s="3"/>
      <c r="P16" s="3"/>
      <c r="Q16" s="3"/>
      <c r="R16" s="3">
        <v>840</v>
      </c>
      <c r="S16" s="3">
        <v>38</v>
      </c>
      <c r="T16" s="3">
        <v>840</v>
      </c>
      <c r="U16" s="3">
        <v>38</v>
      </c>
    </row>
    <row r="17" spans="1:21">
      <c r="A17" s="1">
        <v>16</v>
      </c>
      <c r="B17" s="3">
        <v>1.4638441836520408</v>
      </c>
      <c r="C17" s="3">
        <v>2.8666666666666667</v>
      </c>
      <c r="D17" s="3">
        <v>49.167449669244462</v>
      </c>
      <c r="E17" s="3">
        <v>53.494340635580627</v>
      </c>
      <c r="F17" s="3">
        <v>56.361007302247295</v>
      </c>
      <c r="G17" s="3">
        <v>4.3268909663361654</v>
      </c>
      <c r="H17" s="3"/>
      <c r="I17" s="3"/>
      <c r="J17" s="3"/>
      <c r="K17" s="3">
        <v>2</v>
      </c>
      <c r="L17" s="3"/>
      <c r="M17" s="3"/>
      <c r="N17" s="3">
        <v>7.1935576330028326</v>
      </c>
      <c r="O17" s="3"/>
      <c r="P17" s="3"/>
      <c r="Q17" s="3"/>
      <c r="R17" s="3">
        <v>900</v>
      </c>
      <c r="S17" s="3">
        <v>38</v>
      </c>
      <c r="T17" s="3">
        <v>900</v>
      </c>
      <c r="U17" s="3">
        <v>38</v>
      </c>
    </row>
    <row r="18" spans="1:21">
      <c r="A18" s="1">
        <v>17</v>
      </c>
      <c r="B18" s="3">
        <v>6.2544547214942083</v>
      </c>
      <c r="C18" s="3">
        <v>4.0999999999999996</v>
      </c>
      <c r="D18" s="3">
        <v>55.421904390738668</v>
      </c>
      <c r="E18" s="3">
        <v>56.361007302247295</v>
      </c>
      <c r="F18" s="3">
        <v>60.461007302247296</v>
      </c>
      <c r="G18" s="3">
        <v>0.9391029115086269</v>
      </c>
      <c r="H18" s="3"/>
      <c r="I18" s="3"/>
      <c r="J18" s="3"/>
      <c r="K18" s="3">
        <v>1</v>
      </c>
      <c r="L18" s="3"/>
      <c r="M18" s="3"/>
      <c r="N18" s="3">
        <v>5.0391029115086283</v>
      </c>
      <c r="O18" s="3"/>
      <c r="P18" s="3"/>
      <c r="Q18" s="3"/>
      <c r="R18" s="3">
        <v>960</v>
      </c>
      <c r="S18" s="3">
        <v>38</v>
      </c>
      <c r="T18" s="3">
        <v>960</v>
      </c>
      <c r="U18" s="3">
        <v>38</v>
      </c>
    </row>
    <row r="19" spans="1:21">
      <c r="A19" s="1">
        <v>18</v>
      </c>
      <c r="B19" s="3">
        <v>0.36069434345936729</v>
      </c>
      <c r="C19" s="3">
        <v>3.4833333333333334</v>
      </c>
      <c r="D19" s="3">
        <v>55.782598734198032</v>
      </c>
      <c r="E19" s="3">
        <v>60.461007302247296</v>
      </c>
      <c r="F19" s="3">
        <v>63.94434063558063</v>
      </c>
      <c r="G19" s="3">
        <v>4.6784085680492637</v>
      </c>
      <c r="H19" s="3"/>
      <c r="I19" s="3"/>
      <c r="J19" s="3"/>
      <c r="K19" s="3">
        <v>2</v>
      </c>
      <c r="L19" s="3"/>
      <c r="M19" s="3"/>
      <c r="N19" s="3">
        <v>8.161741901382598</v>
      </c>
      <c r="O19" s="3"/>
      <c r="P19" s="3"/>
      <c r="Q19" s="3"/>
      <c r="R19" s="3">
        <v>1020</v>
      </c>
      <c r="S19" s="3">
        <v>38</v>
      </c>
      <c r="T19" s="3">
        <v>1020</v>
      </c>
      <c r="U19" s="3">
        <v>38</v>
      </c>
    </row>
    <row r="20" spans="1:21">
      <c r="A20" s="1">
        <v>19</v>
      </c>
      <c r="B20" s="3">
        <v>1.5042535790760556</v>
      </c>
      <c r="C20" s="3">
        <v>3.0833333333333335</v>
      </c>
      <c r="D20" s="3">
        <v>57.286852313274089</v>
      </c>
      <c r="E20" s="3">
        <v>63.94434063558063</v>
      </c>
      <c r="F20" s="3">
        <v>67.027673968913959</v>
      </c>
      <c r="G20" s="3">
        <v>6.6574883223065413</v>
      </c>
      <c r="H20" s="3"/>
      <c r="I20" s="3"/>
      <c r="J20" s="3"/>
      <c r="K20" s="3">
        <v>2</v>
      </c>
      <c r="L20" s="3"/>
      <c r="M20" s="3"/>
      <c r="N20" s="3">
        <v>9.7408216556398699</v>
      </c>
      <c r="O20" s="3"/>
      <c r="P20" s="3"/>
      <c r="Q20" s="3"/>
      <c r="R20" s="3">
        <v>1080</v>
      </c>
      <c r="S20" s="3">
        <v>38</v>
      </c>
      <c r="T20" s="3">
        <v>1080</v>
      </c>
      <c r="U20" s="3">
        <v>38</v>
      </c>
    </row>
    <row r="21" spans="1:21">
      <c r="A21" s="1">
        <v>20</v>
      </c>
      <c r="B21" s="3">
        <v>2.492963083198358</v>
      </c>
      <c r="C21" s="3">
        <v>2.5499999999999998</v>
      </c>
      <c r="D21" s="3">
        <v>59.779815396472443</v>
      </c>
      <c r="E21" s="3">
        <v>67.027673968913959</v>
      </c>
      <c r="F21" s="3">
        <v>69.577673968913956</v>
      </c>
      <c r="G21" s="3">
        <v>7.2478585724415154</v>
      </c>
      <c r="H21" s="3"/>
      <c r="I21" s="3"/>
      <c r="J21" s="3"/>
      <c r="K21" s="3">
        <v>3</v>
      </c>
      <c r="L21" s="3"/>
      <c r="M21" s="3"/>
      <c r="N21" s="3">
        <v>9.7978585724415126</v>
      </c>
      <c r="O21" s="3"/>
      <c r="P21" s="3"/>
      <c r="Q21" s="3"/>
      <c r="R21" s="3">
        <v>1140</v>
      </c>
      <c r="S21" s="3">
        <v>38</v>
      </c>
      <c r="T21" s="3">
        <v>1140</v>
      </c>
      <c r="U21" s="3">
        <v>38</v>
      </c>
    </row>
    <row r="22" spans="1:21">
      <c r="A22" s="1">
        <v>21</v>
      </c>
      <c r="B22" s="3">
        <v>2.8579902546268983</v>
      </c>
      <c r="C22" s="3">
        <v>4.166666666666667</v>
      </c>
      <c r="D22" s="3">
        <v>62.637805651099342</v>
      </c>
      <c r="E22" s="3">
        <v>69.577673968913956</v>
      </c>
      <c r="F22" s="3">
        <v>73.744340635580627</v>
      </c>
      <c r="G22" s="3">
        <v>6.9398683178146143</v>
      </c>
      <c r="H22" s="3"/>
      <c r="I22" s="3"/>
      <c r="J22" s="3"/>
      <c r="K22" s="3">
        <v>3</v>
      </c>
      <c r="L22" s="3"/>
      <c r="M22" s="3"/>
      <c r="N22" s="3">
        <v>11.106534984481286</v>
      </c>
      <c r="O22" s="3"/>
      <c r="P22" s="3"/>
      <c r="Q22" s="3"/>
      <c r="R22" s="3">
        <v>1200</v>
      </c>
      <c r="S22" s="3">
        <v>38</v>
      </c>
      <c r="T22" s="3">
        <v>1200</v>
      </c>
      <c r="U22" s="3">
        <v>38</v>
      </c>
    </row>
    <row r="23" spans="1:21">
      <c r="A23" s="1">
        <v>22</v>
      </c>
      <c r="B23" s="3">
        <v>1.6385152904854625</v>
      </c>
      <c r="C23" s="3">
        <v>2.7166666666666668</v>
      </c>
      <c r="D23" s="3">
        <v>64.2763209415848</v>
      </c>
      <c r="E23" s="3">
        <v>73.744340635580627</v>
      </c>
      <c r="F23" s="3">
        <v>76.461007302247296</v>
      </c>
      <c r="G23" s="3">
        <v>9.4680196939958279</v>
      </c>
      <c r="H23" s="3"/>
      <c r="I23" s="3"/>
      <c r="J23" s="3"/>
      <c r="K23" s="3">
        <v>3</v>
      </c>
      <c r="L23" s="3"/>
      <c r="M23" s="3"/>
      <c r="N23" s="3">
        <v>12.184686360662496</v>
      </c>
      <c r="O23" s="3"/>
      <c r="P23" s="3"/>
      <c r="Q23" s="3"/>
      <c r="R23" s="3">
        <v>1260</v>
      </c>
      <c r="S23" s="3">
        <v>38</v>
      </c>
      <c r="T23" s="3">
        <v>1260</v>
      </c>
      <c r="U23" s="3">
        <v>38</v>
      </c>
    </row>
    <row r="24" spans="1:21">
      <c r="A24" s="1">
        <v>23</v>
      </c>
      <c r="B24" s="3">
        <v>0.54809478601130379</v>
      </c>
      <c r="C24" s="3">
        <v>4.3666666666666663</v>
      </c>
      <c r="D24" s="3">
        <v>64.824415727596104</v>
      </c>
      <c r="E24" s="3">
        <v>76.461007302247296</v>
      </c>
      <c r="F24" s="3">
        <v>80.827673968913956</v>
      </c>
      <c r="G24" s="3">
        <v>11.636591574651192</v>
      </c>
      <c r="H24" s="3"/>
      <c r="I24" s="3"/>
      <c r="J24" s="3"/>
      <c r="K24" s="3">
        <v>4</v>
      </c>
      <c r="L24" s="3"/>
      <c r="M24" s="3"/>
      <c r="N24" s="3">
        <v>16.003258241317852</v>
      </c>
      <c r="O24" s="3"/>
      <c r="P24" s="3"/>
      <c r="Q24" s="3"/>
      <c r="R24" s="3">
        <v>1320</v>
      </c>
      <c r="S24" s="3">
        <v>38</v>
      </c>
      <c r="T24" s="3">
        <v>1320</v>
      </c>
      <c r="U24" s="3">
        <v>38</v>
      </c>
    </row>
    <row r="25" spans="1:21">
      <c r="A25" s="1">
        <v>24</v>
      </c>
      <c r="B25" s="3">
        <v>4.944357139548349</v>
      </c>
      <c r="C25" s="3">
        <v>3.15</v>
      </c>
      <c r="D25" s="3">
        <v>69.768772867144449</v>
      </c>
      <c r="E25" s="3">
        <v>80.827673968913956</v>
      </c>
      <c r="F25" s="3">
        <v>83.977673968913962</v>
      </c>
      <c r="G25" s="3">
        <v>11.058901101769507</v>
      </c>
      <c r="H25" s="3"/>
      <c r="I25" s="3"/>
      <c r="J25" s="3"/>
      <c r="K25" s="3">
        <v>3</v>
      </c>
      <c r="L25" s="3"/>
      <c r="M25" s="3"/>
      <c r="N25" s="3">
        <v>14.208901101769513</v>
      </c>
      <c r="O25" s="3"/>
      <c r="P25" s="3"/>
      <c r="Q25" s="3"/>
      <c r="R25" s="3">
        <v>1380</v>
      </c>
      <c r="S25" s="3">
        <v>38</v>
      </c>
      <c r="T25" s="3">
        <v>1380</v>
      </c>
      <c r="U25" s="3">
        <v>38</v>
      </c>
    </row>
    <row r="26" spans="1:21">
      <c r="A26" s="1">
        <v>25</v>
      </c>
      <c r="B26" s="3">
        <v>0.1068923814221876</v>
      </c>
      <c r="C26" s="3">
        <v>4.4333333333333336</v>
      </c>
      <c r="D26" s="3">
        <v>69.875665248566634</v>
      </c>
      <c r="E26" s="3">
        <v>83.977673968913962</v>
      </c>
      <c r="F26" s="3">
        <v>88.411007302247299</v>
      </c>
      <c r="G26" s="3">
        <v>14.102008720347328</v>
      </c>
      <c r="H26" s="3"/>
      <c r="I26" s="3"/>
      <c r="J26" s="3"/>
      <c r="K26" s="3">
        <v>4</v>
      </c>
      <c r="L26" s="3"/>
      <c r="M26" s="3"/>
      <c r="N26" s="3">
        <v>18.535342053680665</v>
      </c>
      <c r="O26" s="3"/>
      <c r="P26" s="3"/>
      <c r="Q26" s="3"/>
      <c r="R26" s="3">
        <v>1440</v>
      </c>
      <c r="S26" s="3">
        <v>38</v>
      </c>
      <c r="T26" s="3">
        <v>1440</v>
      </c>
      <c r="U26" s="3">
        <v>38</v>
      </c>
    </row>
    <row r="27" spans="1:21">
      <c r="A27" s="1">
        <v>26</v>
      </c>
      <c r="B27" s="3">
        <v>6.4556516597155484</v>
      </c>
      <c r="C27" s="3">
        <v>2.6833333333333331</v>
      </c>
      <c r="D27" s="3">
        <v>76.331316908282176</v>
      </c>
      <c r="E27" s="3">
        <v>88.411007302247299</v>
      </c>
      <c r="F27" s="3">
        <v>91.094340635580636</v>
      </c>
      <c r="G27" s="3">
        <v>12.079690393965123</v>
      </c>
      <c r="H27" s="3"/>
      <c r="I27" s="3"/>
      <c r="J27" s="3"/>
      <c r="K27" s="3">
        <v>4</v>
      </c>
      <c r="L27" s="3"/>
      <c r="M27" s="3"/>
      <c r="N27" s="3">
        <v>14.76302372729846</v>
      </c>
      <c r="O27" s="3"/>
      <c r="P27" s="3"/>
      <c r="Q27" s="3"/>
      <c r="R27" s="3">
        <v>1500</v>
      </c>
      <c r="S27" s="3">
        <v>38</v>
      </c>
      <c r="T27" s="3">
        <v>1500</v>
      </c>
      <c r="U27" s="3">
        <v>38</v>
      </c>
    </row>
    <row r="28" spans="1:21">
      <c r="A28" s="1">
        <v>27</v>
      </c>
      <c r="B28" s="3">
        <v>11.248269353686512</v>
      </c>
      <c r="C28" s="3">
        <v>3.8</v>
      </c>
      <c r="D28" s="3">
        <v>87.579586261968686</v>
      </c>
      <c r="E28" s="3">
        <v>91.094340635580636</v>
      </c>
      <c r="F28" s="3">
        <v>94.894340635580633</v>
      </c>
      <c r="G28" s="3">
        <v>3.5147543736119502</v>
      </c>
      <c r="H28" s="3"/>
      <c r="I28" s="3"/>
      <c r="J28" s="3"/>
      <c r="K28" s="3">
        <v>2</v>
      </c>
      <c r="L28" s="3"/>
      <c r="M28" s="3"/>
      <c r="N28" s="3">
        <v>7.3147543736119474</v>
      </c>
      <c r="O28" s="3"/>
      <c r="P28" s="3"/>
      <c r="Q28" s="3"/>
      <c r="R28" s="3">
        <v>1560</v>
      </c>
      <c r="S28" s="3">
        <v>38</v>
      </c>
      <c r="T28" s="3">
        <v>1560</v>
      </c>
      <c r="U28" s="3">
        <v>38</v>
      </c>
    </row>
    <row r="29" spans="1:21">
      <c r="A29" s="1">
        <v>28</v>
      </c>
      <c r="B29" s="3">
        <v>8.9213345670039885</v>
      </c>
      <c r="C29" s="3">
        <v>3.2166666666666668</v>
      </c>
      <c r="D29" s="3">
        <v>96.500920828972681</v>
      </c>
      <c r="E29" s="3">
        <v>96.500920828972681</v>
      </c>
      <c r="F29" s="3">
        <v>99.71758749563935</v>
      </c>
      <c r="G29" s="3">
        <v>0</v>
      </c>
      <c r="H29" s="3"/>
      <c r="I29" s="3"/>
      <c r="J29" s="3"/>
      <c r="K29" s="3">
        <v>0</v>
      </c>
      <c r="L29" s="3"/>
      <c r="M29" s="3"/>
      <c r="N29" s="3">
        <v>3.2166666666666686</v>
      </c>
      <c r="O29" s="3"/>
      <c r="P29" s="3"/>
      <c r="Q29" s="3"/>
      <c r="R29" s="3">
        <v>1561</v>
      </c>
      <c r="S29" s="3">
        <v>38</v>
      </c>
      <c r="T29" s="3">
        <v>1561</v>
      </c>
      <c r="U29" s="3">
        <v>38</v>
      </c>
    </row>
    <row r="30" spans="1:21">
      <c r="A30" s="1">
        <v>29</v>
      </c>
      <c r="B30" s="3">
        <v>1.6235893645146176</v>
      </c>
      <c r="C30" s="3">
        <v>3.5166666666666666</v>
      </c>
      <c r="D30" s="3">
        <v>98.124510193487296</v>
      </c>
      <c r="E30" s="3">
        <v>99.71758749563935</v>
      </c>
      <c r="F30" s="3">
        <v>103.23425416230602</v>
      </c>
      <c r="G30" s="3">
        <v>1.5930773021520537</v>
      </c>
      <c r="H30" s="3"/>
      <c r="I30" s="3"/>
      <c r="J30" s="3"/>
      <c r="K30" s="3">
        <v>1</v>
      </c>
      <c r="L30" s="3"/>
      <c r="M30" s="3"/>
      <c r="N30" s="3">
        <v>5.1097439688187194</v>
      </c>
      <c r="O30" s="3"/>
      <c r="P30" s="3"/>
      <c r="Q30" s="3"/>
      <c r="R30" s="3">
        <v>1562</v>
      </c>
      <c r="S30" s="3">
        <v>38</v>
      </c>
      <c r="T30" s="3">
        <v>1562</v>
      </c>
      <c r="U30" s="3">
        <v>38</v>
      </c>
    </row>
    <row r="31" spans="1:21">
      <c r="A31" s="1">
        <v>30</v>
      </c>
      <c r="B31" s="3">
        <v>5.1366611057606333</v>
      </c>
      <c r="C31" s="3">
        <v>2.7666666666666666</v>
      </c>
      <c r="D31" s="3">
        <v>103.26117129924793</v>
      </c>
      <c r="E31" s="3">
        <v>103.26117129924793</v>
      </c>
      <c r="F31" s="3">
        <v>106.0278379659146</v>
      </c>
      <c r="G31" s="3">
        <v>0</v>
      </c>
      <c r="H31" s="3"/>
      <c r="I31" s="3"/>
      <c r="J31" s="3"/>
      <c r="K31" s="3">
        <v>0</v>
      </c>
      <c r="L31" s="3"/>
      <c r="M31" s="3"/>
      <c r="N31" s="3">
        <v>2.7666666666666657</v>
      </c>
      <c r="O31" s="3"/>
      <c r="P31" s="3"/>
      <c r="Q31" s="3"/>
      <c r="R31" s="3">
        <v>1563</v>
      </c>
      <c r="S31" s="3">
        <v>38</v>
      </c>
      <c r="T31" s="3">
        <v>1563</v>
      </c>
      <c r="U31" s="3">
        <v>38</v>
      </c>
    </row>
    <row r="32" spans="1:21">
      <c r="A32" s="1">
        <v>31</v>
      </c>
      <c r="B32" s="3">
        <v>2.9065638470094504</v>
      </c>
      <c r="C32" s="3">
        <v>3.1666666666666665</v>
      </c>
      <c r="D32" s="3">
        <v>106.16773514625739</v>
      </c>
      <c r="E32" s="3">
        <v>106.16773514625739</v>
      </c>
      <c r="F32" s="3">
        <v>109.33440181292406</v>
      </c>
      <c r="G32" s="3">
        <v>0</v>
      </c>
      <c r="H32" s="3"/>
      <c r="I32" s="3"/>
      <c r="J32" s="3"/>
      <c r="K32" s="3">
        <v>0</v>
      </c>
      <c r="L32" s="3"/>
      <c r="M32" s="3"/>
      <c r="N32" s="3">
        <v>3.1666666666666714</v>
      </c>
      <c r="O32" s="3"/>
      <c r="P32" s="3"/>
      <c r="Q32" s="3"/>
      <c r="R32" s="3">
        <v>1564</v>
      </c>
      <c r="S32" s="3">
        <v>38</v>
      </c>
      <c r="T32" s="3">
        <v>1564</v>
      </c>
      <c r="U32" s="3">
        <v>38</v>
      </c>
    </row>
    <row r="33" spans="1:21">
      <c r="A33" s="1">
        <v>32</v>
      </c>
      <c r="B33" s="3">
        <v>6.3829987720920425</v>
      </c>
      <c r="C33" s="3">
        <v>3.2</v>
      </c>
      <c r="D33" s="3">
        <v>112.55073391834942</v>
      </c>
      <c r="E33" s="3">
        <v>112.55073391834942</v>
      </c>
      <c r="F33" s="3">
        <v>115.75073391834943</v>
      </c>
      <c r="G33" s="3">
        <v>0</v>
      </c>
      <c r="H33" s="3"/>
      <c r="I33" s="3"/>
      <c r="J33" s="3"/>
      <c r="K33" s="3">
        <v>0</v>
      </c>
      <c r="L33" s="3"/>
      <c r="M33" s="3"/>
      <c r="N33" s="3">
        <v>3.2000000000000028</v>
      </c>
      <c r="O33" s="3"/>
      <c r="P33" s="3"/>
      <c r="Q33" s="3"/>
      <c r="R33" s="3">
        <v>1565</v>
      </c>
      <c r="S33" s="3">
        <v>38</v>
      </c>
      <c r="T33" s="3">
        <v>1565</v>
      </c>
      <c r="U33" s="3">
        <v>38</v>
      </c>
    </row>
    <row r="34" spans="1:21">
      <c r="A34" s="1">
        <v>33</v>
      </c>
      <c r="B34" s="3">
        <v>3.5265887614115008</v>
      </c>
      <c r="C34" s="3">
        <v>4.0166666666666666</v>
      </c>
      <c r="D34" s="3">
        <v>116.07732267976093</v>
      </c>
      <c r="E34" s="3">
        <v>116.07732267976093</v>
      </c>
      <c r="F34" s="3">
        <v>120.09398934642759</v>
      </c>
      <c r="G34" s="3">
        <v>0</v>
      </c>
      <c r="H34" s="3"/>
      <c r="I34" s="3"/>
      <c r="J34" s="3"/>
      <c r="K34" s="3">
        <v>0</v>
      </c>
      <c r="L34" s="3"/>
      <c r="M34" s="3"/>
      <c r="N34" s="3">
        <v>4.0166666666666657</v>
      </c>
      <c r="O34" s="3"/>
      <c r="P34" s="3"/>
      <c r="Q34" s="3"/>
      <c r="R34" s="3">
        <v>1566</v>
      </c>
      <c r="S34" s="3">
        <v>38</v>
      </c>
      <c r="T34" s="3">
        <v>1566</v>
      </c>
      <c r="U34" s="3">
        <v>38</v>
      </c>
    </row>
    <row r="35" spans="1:21">
      <c r="A35" s="1">
        <v>34</v>
      </c>
      <c r="B35" s="3">
        <v>1.7148361015273716</v>
      </c>
      <c r="C35" s="3">
        <v>3.4333333333333331</v>
      </c>
      <c r="D35" s="3">
        <v>117.79215878128829</v>
      </c>
      <c r="E35" s="3">
        <v>120.09398934642759</v>
      </c>
      <c r="F35" s="3">
        <v>123.52732267976093</v>
      </c>
      <c r="G35" s="3">
        <v>2.3018305651392978</v>
      </c>
      <c r="H35" s="3"/>
      <c r="I35" s="3"/>
      <c r="J35" s="3"/>
      <c r="K35" s="3">
        <v>1</v>
      </c>
      <c r="L35" s="3"/>
      <c r="M35" s="3"/>
      <c r="N35" s="3">
        <v>5.735163898472635</v>
      </c>
      <c r="O35" s="3"/>
      <c r="P35" s="3"/>
      <c r="Q35" s="3"/>
      <c r="R35" s="3">
        <v>1567</v>
      </c>
      <c r="S35" s="3">
        <v>38</v>
      </c>
      <c r="T35" s="3">
        <v>1567</v>
      </c>
      <c r="U35" s="3">
        <v>38</v>
      </c>
    </row>
    <row r="36" spans="1:21">
      <c r="A36" s="1">
        <v>35</v>
      </c>
      <c r="B36" s="3">
        <v>2.3703243347721181</v>
      </c>
      <c r="C36" s="3">
        <v>2.5166666666666666</v>
      </c>
      <c r="D36" s="3">
        <v>120.16248311606041</v>
      </c>
      <c r="E36" s="3">
        <v>123.52732267976093</v>
      </c>
      <c r="F36" s="3">
        <v>126.04398934642759</v>
      </c>
      <c r="G36" s="3">
        <v>3.3648395637005137</v>
      </c>
      <c r="H36" s="3"/>
      <c r="I36" s="3"/>
      <c r="J36" s="3"/>
      <c r="K36" s="3">
        <v>1</v>
      </c>
      <c r="L36" s="3"/>
      <c r="M36" s="3"/>
      <c r="N36" s="3">
        <v>5.8815062303671795</v>
      </c>
      <c r="O36" s="3"/>
      <c r="P36" s="3"/>
      <c r="Q36" s="3"/>
      <c r="R36" s="3">
        <v>1568</v>
      </c>
      <c r="S36" s="3">
        <v>38</v>
      </c>
      <c r="T36" s="3">
        <v>1568</v>
      </c>
      <c r="U36" s="3">
        <v>38</v>
      </c>
    </row>
    <row r="37" spans="1:21">
      <c r="A37" s="1">
        <v>36</v>
      </c>
      <c r="B37" s="3">
        <v>0.37854092902541625</v>
      </c>
      <c r="C37" s="3">
        <v>2.65</v>
      </c>
      <c r="D37" s="3">
        <v>120.54102404508583</v>
      </c>
      <c r="E37" s="3">
        <v>126.04398934642759</v>
      </c>
      <c r="F37" s="3">
        <v>128.6939893464276</v>
      </c>
      <c r="G37" s="3">
        <v>5.5029653013417601</v>
      </c>
      <c r="H37" s="3"/>
      <c r="I37" s="3"/>
      <c r="J37" s="3"/>
      <c r="K37" s="3">
        <v>2</v>
      </c>
      <c r="L37" s="3"/>
      <c r="M37" s="3"/>
      <c r="N37" s="3">
        <v>8.1529653013417658</v>
      </c>
      <c r="O37" s="3"/>
      <c r="P37" s="3"/>
      <c r="Q37" s="3"/>
      <c r="R37" s="3">
        <v>1569</v>
      </c>
      <c r="S37" s="3">
        <v>38</v>
      </c>
      <c r="T37" s="3">
        <v>1569</v>
      </c>
      <c r="U37" s="3">
        <v>38</v>
      </c>
    </row>
    <row r="38" spans="1:21">
      <c r="A38" s="1">
        <v>37</v>
      </c>
      <c r="B38" s="3">
        <v>1.1774662452502398</v>
      </c>
      <c r="C38" s="3">
        <v>4.3666666666666663</v>
      </c>
      <c r="D38" s="3">
        <v>121.71849029033608</v>
      </c>
      <c r="E38" s="3">
        <v>128.6939893464276</v>
      </c>
      <c r="F38" s="3">
        <v>133.06065601309427</v>
      </c>
      <c r="G38" s="3">
        <v>6.9754990560915218</v>
      </c>
      <c r="H38" s="3"/>
      <c r="I38" s="3"/>
      <c r="J38" s="3"/>
      <c r="K38" s="3">
        <v>3</v>
      </c>
      <c r="L38" s="3"/>
      <c r="M38" s="3"/>
      <c r="N38" s="3">
        <v>11.342165722758196</v>
      </c>
      <c r="O38" s="3"/>
      <c r="P38" s="3"/>
      <c r="Q38" s="3"/>
      <c r="R38" s="3">
        <v>1570</v>
      </c>
      <c r="S38" s="3">
        <v>38</v>
      </c>
      <c r="T38" s="3">
        <v>1570</v>
      </c>
      <c r="U38" s="3">
        <v>38</v>
      </c>
    </row>
    <row r="39" spans="1:21">
      <c r="A39" s="1">
        <v>38</v>
      </c>
      <c r="B39" s="3">
        <v>2.3881113585338949</v>
      </c>
      <c r="C39" s="3">
        <v>3.9166666666666665</v>
      </c>
      <c r="D39" s="3">
        <v>124.10660164886997</v>
      </c>
      <c r="E39" s="3">
        <v>133.06065601309427</v>
      </c>
      <c r="F39" s="3">
        <v>136.97732267976093</v>
      </c>
      <c r="G39" s="3">
        <v>8.9540543642243051</v>
      </c>
      <c r="H39" s="3"/>
      <c r="I39" s="3"/>
      <c r="J39" s="3"/>
      <c r="K39" s="3">
        <v>3</v>
      </c>
      <c r="L39" s="3"/>
      <c r="M39" s="3"/>
      <c r="N39" s="3">
        <v>12.870721030890962</v>
      </c>
      <c r="O39" s="3"/>
      <c r="P39" s="3"/>
      <c r="Q39" s="3"/>
      <c r="R39" s="3">
        <v>1571</v>
      </c>
      <c r="S39" s="3">
        <v>38</v>
      </c>
      <c r="T39" s="3">
        <v>1571</v>
      </c>
      <c r="U39" s="3">
        <v>38</v>
      </c>
    </row>
  </sheetData>
  <mergeCells count="4">
    <mergeCell ref="H6:I6"/>
    <mergeCell ref="H7:I7"/>
    <mergeCell ref="H8:I8"/>
    <mergeCell ref="H9:I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AC6AB-C64D-4496-A101-11E2315083AD}">
  <dimension ref="A1:H62"/>
  <sheetViews>
    <sheetView workbookViewId="0">
      <selection activeCell="H13" sqref="H13"/>
    </sheetView>
  </sheetViews>
  <sheetFormatPr defaultRowHeight="15.6"/>
  <cols>
    <col min="1" max="2" width="8.796875" style="1"/>
    <col min="3" max="3" width="11.796875" style="1" bestFit="1" customWidth="1"/>
    <col min="4" max="6" width="8.796875" style="1"/>
    <col min="7" max="7" width="12.19921875" style="1" bestFit="1" customWidth="1"/>
    <col min="8" max="16384" width="8.796875" style="1"/>
  </cols>
  <sheetData>
    <row r="1" spans="1:8" ht="16.8" thickTop="1" thickBot="1">
      <c r="A1" s="1" t="s">
        <v>18</v>
      </c>
      <c r="C1" s="7" t="s">
        <v>30</v>
      </c>
      <c r="D1" s="7" t="s">
        <v>21</v>
      </c>
      <c r="E1" s="7" t="s">
        <v>22</v>
      </c>
    </row>
    <row r="2" spans="1:8" ht="16.8" thickTop="1" thickBot="1">
      <c r="A2" s="1" t="s">
        <v>19</v>
      </c>
      <c r="C2" s="1">
        <v>0</v>
      </c>
      <c r="D2" s="1">
        <f>8*C2</f>
        <v>0</v>
      </c>
      <c r="E2" s="1">
        <f>5*C2</f>
        <v>0</v>
      </c>
    </row>
    <row r="3" spans="1:8">
      <c r="A3" s="1">
        <f>480/60</f>
        <v>8</v>
      </c>
      <c r="B3" s="1" t="s">
        <v>20</v>
      </c>
      <c r="C3" s="1">
        <v>1</v>
      </c>
      <c r="D3" s="1">
        <f t="shared" ref="D3:D32" si="0">8*C3</f>
        <v>8</v>
      </c>
      <c r="E3" s="1">
        <f t="shared" ref="E3:E62" si="1">5*C3</f>
        <v>5</v>
      </c>
      <c r="G3" s="32" t="s">
        <v>24</v>
      </c>
      <c r="H3" s="29">
        <f>(SUM(D2:D62)-SUM(E2:E62))</f>
        <v>2700</v>
      </c>
    </row>
    <row r="4" spans="1:8">
      <c r="C4" s="1">
        <v>2</v>
      </c>
      <c r="D4" s="1">
        <f t="shared" si="0"/>
        <v>16</v>
      </c>
      <c r="E4" s="1">
        <f t="shared" si="1"/>
        <v>10</v>
      </c>
      <c r="G4" s="33" t="s">
        <v>25</v>
      </c>
      <c r="H4" s="30">
        <f>H3/60</f>
        <v>45</v>
      </c>
    </row>
    <row r="5" spans="1:8" ht="16.2" thickBot="1">
      <c r="C5" s="1">
        <v>3</v>
      </c>
      <c r="D5" s="1">
        <f t="shared" si="0"/>
        <v>24</v>
      </c>
      <c r="E5" s="1">
        <f t="shared" si="1"/>
        <v>15</v>
      </c>
      <c r="G5" s="34" t="s">
        <v>26</v>
      </c>
      <c r="H5" s="31">
        <f>H3/300</f>
        <v>9</v>
      </c>
    </row>
    <row r="6" spans="1:8">
      <c r="C6" s="1">
        <v>4</v>
      </c>
      <c r="D6" s="1">
        <f t="shared" si="0"/>
        <v>32</v>
      </c>
      <c r="E6" s="1">
        <f t="shared" si="1"/>
        <v>20</v>
      </c>
    </row>
    <row r="7" spans="1:8">
      <c r="C7" s="1">
        <v>5</v>
      </c>
      <c r="D7" s="1">
        <f t="shared" si="0"/>
        <v>40</v>
      </c>
      <c r="E7" s="1">
        <f t="shared" si="1"/>
        <v>25</v>
      </c>
    </row>
    <row r="8" spans="1:8">
      <c r="C8" s="1">
        <v>6</v>
      </c>
      <c r="D8" s="1">
        <f t="shared" si="0"/>
        <v>48</v>
      </c>
      <c r="E8" s="1">
        <f t="shared" si="1"/>
        <v>30</v>
      </c>
    </row>
    <row r="9" spans="1:8">
      <c r="C9" s="1">
        <v>7</v>
      </c>
      <c r="D9" s="1">
        <f t="shared" si="0"/>
        <v>56</v>
      </c>
      <c r="E9" s="1">
        <f t="shared" si="1"/>
        <v>35</v>
      </c>
    </row>
    <row r="10" spans="1:8">
      <c r="C10" s="1">
        <v>8</v>
      </c>
      <c r="D10" s="1">
        <f t="shared" si="0"/>
        <v>64</v>
      </c>
      <c r="E10" s="1">
        <f t="shared" si="1"/>
        <v>40</v>
      </c>
    </row>
    <row r="11" spans="1:8">
      <c r="C11" s="1">
        <v>9</v>
      </c>
      <c r="D11" s="1">
        <f t="shared" si="0"/>
        <v>72</v>
      </c>
      <c r="E11" s="1">
        <f t="shared" si="1"/>
        <v>45</v>
      </c>
    </row>
    <row r="12" spans="1:8">
      <c r="C12" s="1">
        <v>10</v>
      </c>
      <c r="D12" s="1">
        <f t="shared" si="0"/>
        <v>80</v>
      </c>
      <c r="E12" s="1">
        <f t="shared" si="1"/>
        <v>50</v>
      </c>
    </row>
    <row r="13" spans="1:8">
      <c r="C13" s="1">
        <v>11</v>
      </c>
      <c r="D13" s="1">
        <f t="shared" si="0"/>
        <v>88</v>
      </c>
      <c r="E13" s="1">
        <f t="shared" si="1"/>
        <v>55</v>
      </c>
    </row>
    <row r="14" spans="1:8">
      <c r="C14" s="1">
        <v>12</v>
      </c>
      <c r="D14" s="1">
        <f t="shared" si="0"/>
        <v>96</v>
      </c>
      <c r="E14" s="1">
        <f t="shared" si="1"/>
        <v>60</v>
      </c>
    </row>
    <row r="15" spans="1:8">
      <c r="C15" s="1">
        <v>13</v>
      </c>
      <c r="D15" s="1">
        <f t="shared" si="0"/>
        <v>104</v>
      </c>
      <c r="E15" s="1">
        <f t="shared" si="1"/>
        <v>65</v>
      </c>
    </row>
    <row r="16" spans="1:8">
      <c r="C16" s="1">
        <v>14</v>
      </c>
      <c r="D16" s="1">
        <f t="shared" si="0"/>
        <v>112</v>
      </c>
      <c r="E16" s="1">
        <f t="shared" si="1"/>
        <v>70</v>
      </c>
    </row>
    <row r="17" spans="3:5">
      <c r="C17" s="1">
        <v>15</v>
      </c>
      <c r="D17" s="1">
        <f t="shared" si="0"/>
        <v>120</v>
      </c>
      <c r="E17" s="1">
        <f t="shared" si="1"/>
        <v>75</v>
      </c>
    </row>
    <row r="18" spans="3:5">
      <c r="C18" s="1">
        <v>16</v>
      </c>
      <c r="D18" s="1">
        <f t="shared" si="0"/>
        <v>128</v>
      </c>
      <c r="E18" s="1">
        <f t="shared" si="1"/>
        <v>80</v>
      </c>
    </row>
    <row r="19" spans="3:5">
      <c r="C19" s="1">
        <v>17</v>
      </c>
      <c r="D19" s="1">
        <f t="shared" si="0"/>
        <v>136</v>
      </c>
      <c r="E19" s="1">
        <f t="shared" si="1"/>
        <v>85</v>
      </c>
    </row>
    <row r="20" spans="3:5">
      <c r="C20" s="1">
        <v>18</v>
      </c>
      <c r="D20" s="1">
        <f t="shared" si="0"/>
        <v>144</v>
      </c>
      <c r="E20" s="1">
        <f t="shared" si="1"/>
        <v>90</v>
      </c>
    </row>
    <row r="21" spans="3:5">
      <c r="C21" s="1">
        <v>19</v>
      </c>
      <c r="D21" s="1">
        <f t="shared" si="0"/>
        <v>152</v>
      </c>
      <c r="E21" s="1">
        <f t="shared" si="1"/>
        <v>95</v>
      </c>
    </row>
    <row r="22" spans="3:5">
      <c r="C22" s="1">
        <v>20</v>
      </c>
      <c r="D22" s="1">
        <f t="shared" si="0"/>
        <v>160</v>
      </c>
      <c r="E22" s="1">
        <f t="shared" si="1"/>
        <v>100</v>
      </c>
    </row>
    <row r="23" spans="3:5">
      <c r="C23" s="1">
        <v>21</v>
      </c>
      <c r="D23" s="1">
        <f t="shared" si="0"/>
        <v>168</v>
      </c>
      <c r="E23" s="1">
        <f t="shared" si="1"/>
        <v>105</v>
      </c>
    </row>
    <row r="24" spans="3:5">
      <c r="C24" s="1">
        <v>22</v>
      </c>
      <c r="D24" s="1">
        <f t="shared" si="0"/>
        <v>176</v>
      </c>
      <c r="E24" s="1">
        <f t="shared" si="1"/>
        <v>110</v>
      </c>
    </row>
    <row r="25" spans="3:5">
      <c r="C25" s="1">
        <v>23</v>
      </c>
      <c r="D25" s="1">
        <f t="shared" si="0"/>
        <v>184</v>
      </c>
      <c r="E25" s="1">
        <f t="shared" si="1"/>
        <v>115</v>
      </c>
    </row>
    <row r="26" spans="3:5">
      <c r="C26" s="1">
        <v>24</v>
      </c>
      <c r="D26" s="1">
        <f t="shared" si="0"/>
        <v>192</v>
      </c>
      <c r="E26" s="1">
        <f t="shared" si="1"/>
        <v>120</v>
      </c>
    </row>
    <row r="27" spans="3:5">
      <c r="C27" s="1">
        <v>25</v>
      </c>
      <c r="D27" s="1">
        <f t="shared" si="0"/>
        <v>200</v>
      </c>
      <c r="E27" s="1">
        <f t="shared" si="1"/>
        <v>125</v>
      </c>
    </row>
    <row r="28" spans="3:5">
      <c r="C28" s="1">
        <v>26</v>
      </c>
      <c r="D28" s="1">
        <f t="shared" si="0"/>
        <v>208</v>
      </c>
      <c r="E28" s="1">
        <f t="shared" si="1"/>
        <v>130</v>
      </c>
    </row>
    <row r="29" spans="3:5">
      <c r="C29" s="1">
        <v>27</v>
      </c>
      <c r="D29" s="1">
        <f t="shared" si="0"/>
        <v>216</v>
      </c>
      <c r="E29" s="1">
        <f t="shared" si="1"/>
        <v>135</v>
      </c>
    </row>
    <row r="30" spans="3:5">
      <c r="C30" s="1">
        <v>28</v>
      </c>
      <c r="D30" s="1">
        <f t="shared" si="0"/>
        <v>224</v>
      </c>
      <c r="E30" s="1">
        <f t="shared" si="1"/>
        <v>140</v>
      </c>
    </row>
    <row r="31" spans="3:5">
      <c r="C31" s="1">
        <v>29</v>
      </c>
      <c r="D31" s="1">
        <f t="shared" si="0"/>
        <v>232</v>
      </c>
      <c r="E31" s="1">
        <f t="shared" si="1"/>
        <v>145</v>
      </c>
    </row>
    <row r="32" spans="3:5">
      <c r="C32" s="1">
        <v>30</v>
      </c>
      <c r="D32" s="1">
        <f t="shared" si="0"/>
        <v>240</v>
      </c>
      <c r="E32" s="1">
        <f t="shared" si="1"/>
        <v>150</v>
      </c>
    </row>
    <row r="33" spans="3:5">
      <c r="C33" s="1">
        <v>31</v>
      </c>
      <c r="D33" s="1">
        <f>(2*(C33-C32))+D32</f>
        <v>242</v>
      </c>
      <c r="E33" s="1">
        <f t="shared" si="1"/>
        <v>155</v>
      </c>
    </row>
    <row r="34" spans="3:5">
      <c r="C34" s="1">
        <v>32</v>
      </c>
      <c r="D34" s="1">
        <f t="shared" ref="D34:D62" si="2">(2*(C34-C33))+D33</f>
        <v>244</v>
      </c>
      <c r="E34" s="1">
        <f t="shared" si="1"/>
        <v>160</v>
      </c>
    </row>
    <row r="35" spans="3:5">
      <c r="C35" s="1">
        <v>33</v>
      </c>
      <c r="D35" s="1">
        <f t="shared" si="2"/>
        <v>246</v>
      </c>
      <c r="E35" s="1">
        <f t="shared" si="1"/>
        <v>165</v>
      </c>
    </row>
    <row r="36" spans="3:5">
      <c r="C36" s="1">
        <v>34</v>
      </c>
      <c r="D36" s="1">
        <f t="shared" si="2"/>
        <v>248</v>
      </c>
      <c r="E36" s="1">
        <f t="shared" si="1"/>
        <v>170</v>
      </c>
    </row>
    <row r="37" spans="3:5">
      <c r="C37" s="1">
        <v>35</v>
      </c>
      <c r="D37" s="1">
        <f t="shared" si="2"/>
        <v>250</v>
      </c>
      <c r="E37" s="1">
        <f t="shared" si="1"/>
        <v>175</v>
      </c>
    </row>
    <row r="38" spans="3:5">
      <c r="C38" s="1">
        <v>36</v>
      </c>
      <c r="D38" s="1">
        <f t="shared" si="2"/>
        <v>252</v>
      </c>
      <c r="E38" s="1">
        <f t="shared" si="1"/>
        <v>180</v>
      </c>
    </row>
    <row r="39" spans="3:5">
      <c r="C39" s="1">
        <v>37</v>
      </c>
      <c r="D39" s="1">
        <f t="shared" si="2"/>
        <v>254</v>
      </c>
      <c r="E39" s="1">
        <f t="shared" si="1"/>
        <v>185</v>
      </c>
    </row>
    <row r="40" spans="3:5">
      <c r="C40" s="1">
        <v>38</v>
      </c>
      <c r="D40" s="1">
        <f t="shared" si="2"/>
        <v>256</v>
      </c>
      <c r="E40" s="1">
        <f t="shared" si="1"/>
        <v>190</v>
      </c>
    </row>
    <row r="41" spans="3:5">
      <c r="C41" s="1">
        <v>39</v>
      </c>
      <c r="D41" s="1">
        <f t="shared" si="2"/>
        <v>258</v>
      </c>
      <c r="E41" s="1">
        <f t="shared" si="1"/>
        <v>195</v>
      </c>
    </row>
    <row r="42" spans="3:5">
      <c r="C42" s="1">
        <v>40</v>
      </c>
      <c r="D42" s="1">
        <f t="shared" si="2"/>
        <v>260</v>
      </c>
      <c r="E42" s="1">
        <f t="shared" si="1"/>
        <v>200</v>
      </c>
    </row>
    <row r="43" spans="3:5">
      <c r="C43" s="1">
        <v>41</v>
      </c>
      <c r="D43" s="1">
        <f t="shared" si="2"/>
        <v>262</v>
      </c>
      <c r="E43" s="1">
        <f t="shared" si="1"/>
        <v>205</v>
      </c>
    </row>
    <row r="44" spans="3:5">
      <c r="C44" s="1">
        <v>42</v>
      </c>
      <c r="D44" s="1">
        <f t="shared" si="2"/>
        <v>264</v>
      </c>
      <c r="E44" s="1">
        <f t="shared" si="1"/>
        <v>210</v>
      </c>
    </row>
    <row r="45" spans="3:5">
      <c r="C45" s="1">
        <v>43</v>
      </c>
      <c r="D45" s="1">
        <f t="shared" si="2"/>
        <v>266</v>
      </c>
      <c r="E45" s="1">
        <f t="shared" si="1"/>
        <v>215</v>
      </c>
    </row>
    <row r="46" spans="3:5">
      <c r="C46" s="1">
        <v>44</v>
      </c>
      <c r="D46" s="1">
        <f t="shared" si="2"/>
        <v>268</v>
      </c>
      <c r="E46" s="1">
        <f t="shared" si="1"/>
        <v>220</v>
      </c>
    </row>
    <row r="47" spans="3:5">
      <c r="C47" s="1">
        <v>45</v>
      </c>
      <c r="D47" s="1">
        <f t="shared" si="2"/>
        <v>270</v>
      </c>
      <c r="E47" s="1">
        <f t="shared" si="1"/>
        <v>225</v>
      </c>
    </row>
    <row r="48" spans="3:5">
      <c r="C48" s="1">
        <v>46</v>
      </c>
      <c r="D48" s="1">
        <f t="shared" si="2"/>
        <v>272</v>
      </c>
      <c r="E48" s="1">
        <f t="shared" si="1"/>
        <v>230</v>
      </c>
    </row>
    <row r="49" spans="3:5">
      <c r="C49" s="1">
        <v>47</v>
      </c>
      <c r="D49" s="1">
        <f t="shared" si="2"/>
        <v>274</v>
      </c>
      <c r="E49" s="1">
        <f t="shared" si="1"/>
        <v>235</v>
      </c>
    </row>
    <row r="50" spans="3:5">
      <c r="C50" s="1">
        <v>48</v>
      </c>
      <c r="D50" s="1">
        <f t="shared" si="2"/>
        <v>276</v>
      </c>
      <c r="E50" s="1">
        <f t="shared" si="1"/>
        <v>240</v>
      </c>
    </row>
    <row r="51" spans="3:5">
      <c r="C51" s="1">
        <v>49</v>
      </c>
      <c r="D51" s="1">
        <f t="shared" si="2"/>
        <v>278</v>
      </c>
      <c r="E51" s="1">
        <f t="shared" si="1"/>
        <v>245</v>
      </c>
    </row>
    <row r="52" spans="3:5">
      <c r="C52" s="1">
        <v>50</v>
      </c>
      <c r="D52" s="1">
        <f t="shared" si="2"/>
        <v>280</v>
      </c>
      <c r="E52" s="1">
        <f t="shared" si="1"/>
        <v>250</v>
      </c>
    </row>
    <row r="53" spans="3:5">
      <c r="C53" s="1">
        <v>51</v>
      </c>
      <c r="D53" s="1">
        <f t="shared" si="2"/>
        <v>282</v>
      </c>
      <c r="E53" s="1">
        <f t="shared" si="1"/>
        <v>255</v>
      </c>
    </row>
    <row r="54" spans="3:5">
      <c r="C54" s="1">
        <v>52</v>
      </c>
      <c r="D54" s="1">
        <f t="shared" si="2"/>
        <v>284</v>
      </c>
      <c r="E54" s="1">
        <f t="shared" si="1"/>
        <v>260</v>
      </c>
    </row>
    <row r="55" spans="3:5">
      <c r="C55" s="1">
        <v>53</v>
      </c>
      <c r="D55" s="1">
        <f t="shared" si="2"/>
        <v>286</v>
      </c>
      <c r="E55" s="1">
        <f t="shared" si="1"/>
        <v>265</v>
      </c>
    </row>
    <row r="56" spans="3:5">
      <c r="C56" s="1">
        <v>54</v>
      </c>
      <c r="D56" s="1">
        <f t="shared" si="2"/>
        <v>288</v>
      </c>
      <c r="E56" s="1">
        <f t="shared" si="1"/>
        <v>270</v>
      </c>
    </row>
    <row r="57" spans="3:5">
      <c r="C57" s="1">
        <v>55</v>
      </c>
      <c r="D57" s="1">
        <f t="shared" si="2"/>
        <v>290</v>
      </c>
      <c r="E57" s="1">
        <f t="shared" si="1"/>
        <v>275</v>
      </c>
    </row>
    <row r="58" spans="3:5">
      <c r="C58" s="1">
        <v>56</v>
      </c>
      <c r="D58" s="1">
        <f t="shared" si="2"/>
        <v>292</v>
      </c>
      <c r="E58" s="1">
        <f t="shared" si="1"/>
        <v>280</v>
      </c>
    </row>
    <row r="59" spans="3:5">
      <c r="C59" s="1">
        <v>57</v>
      </c>
      <c r="D59" s="1">
        <f t="shared" si="2"/>
        <v>294</v>
      </c>
      <c r="E59" s="1">
        <f t="shared" si="1"/>
        <v>285</v>
      </c>
    </row>
    <row r="60" spans="3:5">
      <c r="C60" s="1">
        <v>58</v>
      </c>
      <c r="D60" s="1">
        <f t="shared" si="2"/>
        <v>296</v>
      </c>
      <c r="E60" s="1">
        <f t="shared" si="1"/>
        <v>290</v>
      </c>
    </row>
    <row r="61" spans="3:5">
      <c r="C61" s="1">
        <v>59</v>
      </c>
      <c r="D61" s="1">
        <f t="shared" si="2"/>
        <v>298</v>
      </c>
      <c r="E61" s="1">
        <f t="shared" si="1"/>
        <v>295</v>
      </c>
    </row>
    <row r="62" spans="3:5">
      <c r="C62" s="1">
        <v>60</v>
      </c>
      <c r="D62" s="1">
        <f t="shared" si="2"/>
        <v>300</v>
      </c>
      <c r="E62" s="1">
        <f t="shared" si="1"/>
        <v>300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35F8-3D10-4473-9895-C684A16A055B}">
  <dimension ref="A1:J103"/>
  <sheetViews>
    <sheetView workbookViewId="0">
      <selection activeCell="S23" sqref="S23"/>
    </sheetView>
  </sheetViews>
  <sheetFormatPr defaultRowHeight="15.6"/>
  <cols>
    <col min="1" max="16384" width="8.796875" style="8"/>
  </cols>
  <sheetData>
    <row r="1" spans="1:10">
      <c r="A1" s="12" t="s">
        <v>31</v>
      </c>
      <c r="B1" s="13" t="s">
        <v>32</v>
      </c>
      <c r="C1" s="13"/>
      <c r="D1" s="13"/>
      <c r="E1" s="13" t="s">
        <v>33</v>
      </c>
      <c r="F1" s="13"/>
      <c r="G1" s="13"/>
      <c r="H1" s="13" t="s">
        <v>34</v>
      </c>
      <c r="I1" s="13"/>
      <c r="J1" s="14"/>
    </row>
    <row r="2" spans="1:10" ht="16.2" thickBot="1">
      <c r="A2" s="15"/>
      <c r="B2" s="16" t="s">
        <v>27</v>
      </c>
      <c r="C2" s="17" t="s">
        <v>28</v>
      </c>
      <c r="D2" s="18" t="s">
        <v>29</v>
      </c>
      <c r="E2" s="16" t="s">
        <v>27</v>
      </c>
      <c r="F2" s="17" t="s">
        <v>28</v>
      </c>
      <c r="G2" s="18" t="s">
        <v>29</v>
      </c>
      <c r="H2" s="16" t="s">
        <v>27</v>
      </c>
      <c r="I2" s="17" t="s">
        <v>28</v>
      </c>
      <c r="J2" s="19" t="s">
        <v>29</v>
      </c>
    </row>
    <row r="3" spans="1:10">
      <c r="A3" s="9">
        <v>0</v>
      </c>
      <c r="B3" s="9">
        <v>-5</v>
      </c>
      <c r="C3" s="9">
        <v>37.5</v>
      </c>
      <c r="D3" s="9">
        <v>300</v>
      </c>
      <c r="E3" s="9">
        <v>0</v>
      </c>
      <c r="F3" s="9">
        <v>37.5</v>
      </c>
      <c r="G3" s="9">
        <v>380</v>
      </c>
      <c r="H3" s="9">
        <v>0</v>
      </c>
      <c r="I3" s="9">
        <v>37.5</v>
      </c>
      <c r="J3" s="9">
        <v>460</v>
      </c>
    </row>
    <row r="4" spans="1:10">
      <c r="A4" s="9">
        <v>0.1</v>
      </c>
      <c r="B4" s="9">
        <v>-5</v>
      </c>
      <c r="C4" s="9">
        <f>C3+0.1*B3</f>
        <v>37</v>
      </c>
      <c r="D4" s="9">
        <f>D3-((C3+C4)/2)*(5280/3600)*0.1</f>
        <v>294.53666666666669</v>
      </c>
      <c r="E4" s="9">
        <v>0</v>
      </c>
      <c r="F4" s="9">
        <f>F3+0.1*E3</f>
        <v>37.5</v>
      </c>
      <c r="G4" s="9">
        <f>G3-((F3+F4)/2)*(5280/3600)*0.1</f>
        <v>374.5</v>
      </c>
      <c r="H4" s="9">
        <v>0</v>
      </c>
      <c r="I4" s="9">
        <f>I3+0.1*H3</f>
        <v>37.5</v>
      </c>
      <c r="J4" s="9">
        <f>J3-(I3+I4)/2*5280/3600*0.1</f>
        <v>454.5</v>
      </c>
    </row>
    <row r="5" spans="1:10">
      <c r="A5" s="9">
        <v>0.2</v>
      </c>
      <c r="B5" s="9">
        <v>-5</v>
      </c>
      <c r="C5" s="9">
        <f t="shared" ref="C5:C68" si="0">C4+0.1*B4</f>
        <v>36.5</v>
      </c>
      <c r="D5" s="9">
        <f>D4-((C4+C5)/2)*(5280/3600)*0.1</f>
        <v>289.1466666666667</v>
      </c>
      <c r="E5" s="9">
        <v>0</v>
      </c>
      <c r="F5" s="9">
        <f t="shared" ref="F5:F68" si="1">F4+0.1*E4</f>
        <v>37.5</v>
      </c>
      <c r="G5" s="9">
        <f t="shared" ref="G5:G66" si="2">G4-((F4+F5)/2)*(5280/3600)*0.1</f>
        <v>369</v>
      </c>
      <c r="H5" s="9">
        <v>0</v>
      </c>
      <c r="I5" s="9">
        <f t="shared" ref="I5:I68" si="3">I4+0.1*H4</f>
        <v>37.5</v>
      </c>
      <c r="J5" s="9">
        <f t="shared" ref="J5:J68" si="4">J4-(I4+I5)/2*5280/3600*0.1</f>
        <v>449</v>
      </c>
    </row>
    <row r="6" spans="1:10">
      <c r="A6" s="9">
        <v>0.3</v>
      </c>
      <c r="B6" s="9">
        <v>-5</v>
      </c>
      <c r="C6" s="9">
        <f t="shared" si="0"/>
        <v>36</v>
      </c>
      <c r="D6" s="9">
        <f t="shared" ref="D6:D69" si="5">D5-((C5+C6)/2)*(5280/3600)*0.1</f>
        <v>283.83000000000004</v>
      </c>
      <c r="E6" s="9">
        <v>0</v>
      </c>
      <c r="F6" s="9">
        <f t="shared" si="1"/>
        <v>37.5</v>
      </c>
      <c r="G6" s="9">
        <f t="shared" si="2"/>
        <v>363.5</v>
      </c>
      <c r="H6" s="9">
        <v>0</v>
      </c>
      <c r="I6" s="9">
        <f t="shared" si="3"/>
        <v>37.5</v>
      </c>
      <c r="J6" s="9">
        <f t="shared" si="4"/>
        <v>443.5</v>
      </c>
    </row>
    <row r="7" spans="1:10">
      <c r="A7" s="9">
        <v>0.4</v>
      </c>
      <c r="B7" s="9">
        <v>-5</v>
      </c>
      <c r="C7" s="9">
        <f t="shared" si="0"/>
        <v>35.5</v>
      </c>
      <c r="D7" s="9">
        <f t="shared" si="5"/>
        <v>278.5866666666667</v>
      </c>
      <c r="E7" s="9">
        <v>0</v>
      </c>
      <c r="F7" s="9">
        <f t="shared" si="1"/>
        <v>37.5</v>
      </c>
      <c r="G7" s="9">
        <f t="shared" si="2"/>
        <v>358</v>
      </c>
      <c r="H7" s="9">
        <v>0</v>
      </c>
      <c r="I7" s="9">
        <f t="shared" si="3"/>
        <v>37.5</v>
      </c>
      <c r="J7" s="9">
        <f t="shared" si="4"/>
        <v>438</v>
      </c>
    </row>
    <row r="8" spans="1:10">
      <c r="A8" s="9">
        <v>0.5</v>
      </c>
      <c r="B8" s="9">
        <v>-5</v>
      </c>
      <c r="C8" s="9">
        <f t="shared" si="0"/>
        <v>35</v>
      </c>
      <c r="D8" s="9">
        <f t="shared" si="5"/>
        <v>273.41666666666669</v>
      </c>
      <c r="E8" s="9">
        <v>0</v>
      </c>
      <c r="F8" s="9">
        <f t="shared" si="1"/>
        <v>37.5</v>
      </c>
      <c r="G8" s="9">
        <f t="shared" si="2"/>
        <v>352.5</v>
      </c>
      <c r="H8" s="9">
        <v>0</v>
      </c>
      <c r="I8" s="9">
        <f t="shared" si="3"/>
        <v>37.5</v>
      </c>
      <c r="J8" s="9">
        <f t="shared" si="4"/>
        <v>432.5</v>
      </c>
    </row>
    <row r="9" spans="1:10">
      <c r="A9" s="9">
        <v>0.6</v>
      </c>
      <c r="B9" s="9">
        <v>-5</v>
      </c>
      <c r="C9" s="9">
        <f t="shared" si="0"/>
        <v>34.5</v>
      </c>
      <c r="D9" s="9">
        <f t="shared" si="5"/>
        <v>268.32</v>
      </c>
      <c r="E9" s="9">
        <v>0</v>
      </c>
      <c r="F9" s="9">
        <f t="shared" si="1"/>
        <v>37.5</v>
      </c>
      <c r="G9" s="9">
        <f t="shared" si="2"/>
        <v>347</v>
      </c>
      <c r="H9" s="9">
        <v>0</v>
      </c>
      <c r="I9" s="9">
        <f t="shared" si="3"/>
        <v>37.5</v>
      </c>
      <c r="J9" s="9">
        <f t="shared" si="4"/>
        <v>427</v>
      </c>
    </row>
    <row r="10" spans="1:10">
      <c r="A10" s="9">
        <v>0.7</v>
      </c>
      <c r="B10" s="9">
        <v>-5</v>
      </c>
      <c r="C10" s="9">
        <f t="shared" si="0"/>
        <v>34</v>
      </c>
      <c r="D10" s="9">
        <f t="shared" si="5"/>
        <v>263.29666666666668</v>
      </c>
      <c r="E10" s="9">
        <v>0</v>
      </c>
      <c r="F10" s="9">
        <f t="shared" si="1"/>
        <v>37.5</v>
      </c>
      <c r="G10" s="9">
        <f t="shared" si="2"/>
        <v>341.5</v>
      </c>
      <c r="H10" s="9">
        <v>0</v>
      </c>
      <c r="I10" s="9">
        <f t="shared" si="3"/>
        <v>37.5</v>
      </c>
      <c r="J10" s="9">
        <f t="shared" si="4"/>
        <v>421.5</v>
      </c>
    </row>
    <row r="11" spans="1:10">
      <c r="A11" s="9">
        <v>0.8</v>
      </c>
      <c r="B11" s="9">
        <v>-5</v>
      </c>
      <c r="C11" s="9">
        <f t="shared" si="0"/>
        <v>33.5</v>
      </c>
      <c r="D11" s="9">
        <f t="shared" si="5"/>
        <v>258.34666666666669</v>
      </c>
      <c r="E11" s="9">
        <v>0</v>
      </c>
      <c r="F11" s="9">
        <f t="shared" si="1"/>
        <v>37.5</v>
      </c>
      <c r="G11" s="9">
        <f t="shared" si="2"/>
        <v>336</v>
      </c>
      <c r="H11" s="9">
        <v>0</v>
      </c>
      <c r="I11" s="9">
        <f t="shared" si="3"/>
        <v>37.5</v>
      </c>
      <c r="J11" s="9">
        <f t="shared" si="4"/>
        <v>416</v>
      </c>
    </row>
    <row r="12" spans="1:10">
      <c r="A12" s="9">
        <v>0.9</v>
      </c>
      <c r="B12" s="9">
        <v>-5</v>
      </c>
      <c r="C12" s="9">
        <f t="shared" si="0"/>
        <v>33</v>
      </c>
      <c r="D12" s="9">
        <f t="shared" si="5"/>
        <v>253.47000000000003</v>
      </c>
      <c r="E12" s="9">
        <v>0</v>
      </c>
      <c r="F12" s="9">
        <f t="shared" si="1"/>
        <v>37.5</v>
      </c>
      <c r="G12" s="9">
        <f t="shared" si="2"/>
        <v>330.5</v>
      </c>
      <c r="H12" s="9">
        <v>0</v>
      </c>
      <c r="I12" s="9">
        <f t="shared" si="3"/>
        <v>37.5</v>
      </c>
      <c r="J12" s="9">
        <f t="shared" si="4"/>
        <v>410.5</v>
      </c>
    </row>
    <row r="13" spans="1:10">
      <c r="A13" s="9">
        <v>1</v>
      </c>
      <c r="B13" s="9">
        <v>-5</v>
      </c>
      <c r="C13" s="9">
        <f t="shared" si="0"/>
        <v>32.5</v>
      </c>
      <c r="D13" s="9">
        <f t="shared" si="5"/>
        <v>248.66666666666669</v>
      </c>
      <c r="E13" s="9">
        <v>0</v>
      </c>
      <c r="F13" s="9">
        <f t="shared" si="1"/>
        <v>37.5</v>
      </c>
      <c r="G13" s="9">
        <f t="shared" si="2"/>
        <v>325</v>
      </c>
      <c r="H13" s="9">
        <v>0</v>
      </c>
      <c r="I13" s="9">
        <f t="shared" si="3"/>
        <v>37.5</v>
      </c>
      <c r="J13" s="9">
        <f t="shared" si="4"/>
        <v>405</v>
      </c>
    </row>
    <row r="14" spans="1:10">
      <c r="A14" s="9">
        <v>1.1000000000000001</v>
      </c>
      <c r="B14" s="9">
        <v>-5</v>
      </c>
      <c r="C14" s="9">
        <f t="shared" si="0"/>
        <v>32</v>
      </c>
      <c r="D14" s="9">
        <f t="shared" si="5"/>
        <v>243.9366666666667</v>
      </c>
      <c r="E14" s="9">
        <f>0.4*(C13-F13)</f>
        <v>-2</v>
      </c>
      <c r="F14" s="9">
        <f t="shared" si="1"/>
        <v>37.5</v>
      </c>
      <c r="G14" s="9">
        <f t="shared" si="2"/>
        <v>319.5</v>
      </c>
      <c r="H14" s="9">
        <v>0</v>
      </c>
      <c r="I14" s="9">
        <f t="shared" si="3"/>
        <v>37.5</v>
      </c>
      <c r="J14" s="9">
        <f t="shared" si="4"/>
        <v>399.5</v>
      </c>
    </row>
    <row r="15" spans="1:10">
      <c r="A15" s="9">
        <v>1.2</v>
      </c>
      <c r="B15" s="9">
        <v>-5</v>
      </c>
      <c r="C15" s="9">
        <f t="shared" si="0"/>
        <v>31.5</v>
      </c>
      <c r="D15" s="9">
        <f t="shared" si="5"/>
        <v>239.28000000000003</v>
      </c>
      <c r="E15" s="9">
        <f>0.4*(C14-F14)</f>
        <v>-2.2000000000000002</v>
      </c>
      <c r="F15" s="9">
        <f t="shared" si="1"/>
        <v>37.299999999999997</v>
      </c>
      <c r="G15" s="9">
        <f t="shared" si="2"/>
        <v>314.01466666666664</v>
      </c>
      <c r="H15" s="9">
        <v>0</v>
      </c>
      <c r="I15" s="9">
        <f t="shared" si="3"/>
        <v>37.5</v>
      </c>
      <c r="J15" s="9">
        <f t="shared" si="4"/>
        <v>394</v>
      </c>
    </row>
    <row r="16" spans="1:10">
      <c r="A16" s="9">
        <v>1.3</v>
      </c>
      <c r="B16" s="9">
        <v>-5</v>
      </c>
      <c r="C16" s="9">
        <f t="shared" si="0"/>
        <v>31</v>
      </c>
      <c r="D16" s="9">
        <f t="shared" si="5"/>
        <v>234.69666666666669</v>
      </c>
      <c r="E16" s="9">
        <f t="shared" ref="E16:E79" si="6">0.4*(C15-F15)</f>
        <v>-2.319999999999999</v>
      </c>
      <c r="F16" s="9">
        <f t="shared" si="1"/>
        <v>37.08</v>
      </c>
      <c r="G16" s="9">
        <f t="shared" si="2"/>
        <v>308.56013333333328</v>
      </c>
      <c r="H16" s="9">
        <v>0</v>
      </c>
      <c r="I16" s="9">
        <f t="shared" si="3"/>
        <v>37.5</v>
      </c>
      <c r="J16" s="9">
        <f t="shared" si="4"/>
        <v>388.5</v>
      </c>
    </row>
    <row r="17" spans="1:10">
      <c r="A17" s="9">
        <v>1.4</v>
      </c>
      <c r="B17" s="9">
        <v>-5</v>
      </c>
      <c r="C17" s="9">
        <f t="shared" si="0"/>
        <v>30.5</v>
      </c>
      <c r="D17" s="9">
        <f t="shared" si="5"/>
        <v>230.1866666666667</v>
      </c>
      <c r="E17" s="9">
        <f t="shared" si="6"/>
        <v>-2.4319999999999995</v>
      </c>
      <c r="F17" s="9">
        <f t="shared" si="1"/>
        <v>36.847999999999999</v>
      </c>
      <c r="G17" s="9">
        <f t="shared" si="2"/>
        <v>303.13874666666663</v>
      </c>
      <c r="H17" s="9">
        <v>0</v>
      </c>
      <c r="I17" s="9">
        <f t="shared" si="3"/>
        <v>37.5</v>
      </c>
      <c r="J17" s="9">
        <f t="shared" si="4"/>
        <v>383</v>
      </c>
    </row>
    <row r="18" spans="1:10">
      <c r="A18" s="9">
        <v>1.5</v>
      </c>
      <c r="B18" s="9">
        <v>-5</v>
      </c>
      <c r="C18" s="9">
        <f t="shared" si="0"/>
        <v>30</v>
      </c>
      <c r="D18" s="9">
        <f t="shared" si="5"/>
        <v>225.75000000000003</v>
      </c>
      <c r="E18" s="9">
        <f t="shared" si="6"/>
        <v>-2.5391999999999997</v>
      </c>
      <c r="F18" s="9">
        <f t="shared" si="1"/>
        <v>36.604799999999997</v>
      </c>
      <c r="G18" s="9">
        <f t="shared" si="2"/>
        <v>297.752208</v>
      </c>
      <c r="H18" s="9">
        <v>0</v>
      </c>
      <c r="I18" s="9">
        <f t="shared" si="3"/>
        <v>37.5</v>
      </c>
      <c r="J18" s="9">
        <f t="shared" si="4"/>
        <v>377.5</v>
      </c>
    </row>
    <row r="19" spans="1:10">
      <c r="A19" s="9">
        <v>1.6</v>
      </c>
      <c r="B19" s="9">
        <v>-5</v>
      </c>
      <c r="C19" s="9">
        <f t="shared" si="0"/>
        <v>29.5</v>
      </c>
      <c r="D19" s="9">
        <f t="shared" si="5"/>
        <v>221.38666666666668</v>
      </c>
      <c r="E19" s="9">
        <f t="shared" si="6"/>
        <v>-2.6419199999999989</v>
      </c>
      <c r="F19" s="9">
        <f t="shared" si="1"/>
        <v>36.350879999999997</v>
      </c>
      <c r="G19" s="9">
        <f t="shared" si="2"/>
        <v>292.40212480000002</v>
      </c>
      <c r="H19" s="9">
        <v>0</v>
      </c>
      <c r="I19" s="9">
        <f t="shared" si="3"/>
        <v>37.5</v>
      </c>
      <c r="J19" s="9">
        <f t="shared" si="4"/>
        <v>372</v>
      </c>
    </row>
    <row r="20" spans="1:10">
      <c r="A20" s="9">
        <v>1.7</v>
      </c>
      <c r="B20" s="9">
        <v>-5</v>
      </c>
      <c r="C20" s="9">
        <f t="shared" si="0"/>
        <v>29</v>
      </c>
      <c r="D20" s="9">
        <f t="shared" si="5"/>
        <v>217.09666666666669</v>
      </c>
      <c r="E20" s="9">
        <f t="shared" si="6"/>
        <v>-2.7403519999999988</v>
      </c>
      <c r="F20" s="9">
        <f t="shared" si="1"/>
        <v>36.086687999999995</v>
      </c>
      <c r="G20" s="9">
        <f t="shared" si="2"/>
        <v>287.09003648000004</v>
      </c>
      <c r="H20" s="9">
        <v>0</v>
      </c>
      <c r="I20" s="9">
        <f t="shared" si="3"/>
        <v>37.5</v>
      </c>
      <c r="J20" s="9">
        <f t="shared" si="4"/>
        <v>366.5</v>
      </c>
    </row>
    <row r="21" spans="1:10">
      <c r="A21" s="9">
        <v>1.8</v>
      </c>
      <c r="B21" s="9">
        <v>-5</v>
      </c>
      <c r="C21" s="9">
        <f t="shared" si="0"/>
        <v>28.5</v>
      </c>
      <c r="D21" s="9">
        <f t="shared" si="5"/>
        <v>212.88000000000002</v>
      </c>
      <c r="E21" s="9">
        <f t="shared" si="6"/>
        <v>-2.8346751999999982</v>
      </c>
      <c r="F21" s="9">
        <f t="shared" si="1"/>
        <v>35.812652799999995</v>
      </c>
      <c r="G21" s="9">
        <f t="shared" si="2"/>
        <v>281.81741815466671</v>
      </c>
      <c r="H21" s="9">
        <v>0</v>
      </c>
      <c r="I21" s="9">
        <f t="shared" si="3"/>
        <v>37.5</v>
      </c>
      <c r="J21" s="9">
        <f t="shared" si="4"/>
        <v>361</v>
      </c>
    </row>
    <row r="22" spans="1:10">
      <c r="A22" s="9">
        <v>1.9</v>
      </c>
      <c r="B22" s="9">
        <v>-5</v>
      </c>
      <c r="C22" s="9">
        <f t="shared" si="0"/>
        <v>28</v>
      </c>
      <c r="D22" s="9">
        <f t="shared" si="5"/>
        <v>208.73666666666668</v>
      </c>
      <c r="E22" s="9">
        <f t="shared" si="6"/>
        <v>-2.9250611199999983</v>
      </c>
      <c r="F22" s="9">
        <f t="shared" si="1"/>
        <v>35.529185279999993</v>
      </c>
      <c r="G22" s="9">
        <f t="shared" si="2"/>
        <v>276.58568336213335</v>
      </c>
      <c r="H22" s="9">
        <v>0</v>
      </c>
      <c r="I22" s="9">
        <f t="shared" si="3"/>
        <v>37.5</v>
      </c>
      <c r="J22" s="9">
        <f t="shared" si="4"/>
        <v>355.5</v>
      </c>
    </row>
    <row r="23" spans="1:10">
      <c r="A23" s="9">
        <v>2</v>
      </c>
      <c r="B23" s="9">
        <v>-5</v>
      </c>
      <c r="C23" s="9">
        <f t="shared" si="0"/>
        <v>27.5</v>
      </c>
      <c r="D23" s="9">
        <f t="shared" si="5"/>
        <v>204.66666666666669</v>
      </c>
      <c r="E23" s="9">
        <f t="shared" si="6"/>
        <v>-3.0116741119999975</v>
      </c>
      <c r="F23" s="9">
        <f t="shared" si="1"/>
        <v>35.236679167999995</v>
      </c>
      <c r="G23" s="9">
        <f t="shared" si="2"/>
        <v>271.39618663594666</v>
      </c>
      <c r="H23" s="9">
        <f>0.4*(F22-I22)</f>
        <v>-0.78832588800000281</v>
      </c>
      <c r="I23" s="9">
        <f t="shared" si="3"/>
        <v>37.5</v>
      </c>
      <c r="J23" s="9">
        <f t="shared" si="4"/>
        <v>350</v>
      </c>
    </row>
    <row r="24" spans="1:10">
      <c r="A24" s="9">
        <v>2.1</v>
      </c>
      <c r="B24" s="9">
        <v>-5</v>
      </c>
      <c r="C24" s="9">
        <f t="shared" si="0"/>
        <v>27</v>
      </c>
      <c r="D24" s="9">
        <f t="shared" si="5"/>
        <v>200.67000000000002</v>
      </c>
      <c r="E24" s="9">
        <f t="shared" si="6"/>
        <v>-3.0946716671999983</v>
      </c>
      <c r="F24" s="9">
        <f t="shared" si="1"/>
        <v>34.935511756799997</v>
      </c>
      <c r="G24" s="9">
        <f t="shared" si="2"/>
        <v>266.25022596812801</v>
      </c>
      <c r="H24" s="9">
        <f t="shared" ref="H24:H87" si="7">0.4*(F23-I23)</f>
        <v>-0.90532833280000213</v>
      </c>
      <c r="I24" s="9">
        <f t="shared" si="3"/>
        <v>37.421167411200003</v>
      </c>
      <c r="J24" s="9">
        <f t="shared" si="4"/>
        <v>344.50578105651198</v>
      </c>
    </row>
    <row r="25" spans="1:10">
      <c r="A25" s="9">
        <v>2.2000000000000002</v>
      </c>
      <c r="B25" s="9">
        <v>-5</v>
      </c>
      <c r="C25" s="9">
        <f t="shared" si="0"/>
        <v>26.5</v>
      </c>
      <c r="D25" s="9">
        <f t="shared" si="5"/>
        <v>196.74666666666667</v>
      </c>
      <c r="E25" s="9">
        <f t="shared" si="6"/>
        <v>-3.1742047027199991</v>
      </c>
      <c r="F25" s="9">
        <f t="shared" si="1"/>
        <v>34.626044590079999</v>
      </c>
      <c r="G25" s="9">
        <f t="shared" si="2"/>
        <v>261.14904516935678</v>
      </c>
      <c r="H25" s="9">
        <f t="shared" si="7"/>
        <v>-0.99426226176000232</v>
      </c>
      <c r="I25" s="9">
        <f t="shared" si="3"/>
        <v>37.330634577920002</v>
      </c>
      <c r="J25" s="9">
        <f t="shared" si="4"/>
        <v>339.02398224397649</v>
      </c>
    </row>
    <row r="26" spans="1:10">
      <c r="A26" s="9">
        <v>2.2999999999999998</v>
      </c>
      <c r="B26" s="9">
        <v>-5</v>
      </c>
      <c r="C26" s="9">
        <f t="shared" si="0"/>
        <v>26</v>
      </c>
      <c r="D26" s="9">
        <f t="shared" si="5"/>
        <v>192.89666666666668</v>
      </c>
      <c r="E26" s="9">
        <f t="shared" si="6"/>
        <v>-3.2504178360319997</v>
      </c>
      <c r="F26" s="9">
        <f t="shared" si="1"/>
        <v>34.308624119808002</v>
      </c>
      <c r="G26" s="9">
        <f t="shared" si="2"/>
        <v>256.09383613063164</v>
      </c>
      <c r="H26" s="9">
        <f t="shared" si="7"/>
        <v>-1.0818359951360008</v>
      </c>
      <c r="I26" s="9">
        <f t="shared" si="3"/>
        <v>37.231208351744002</v>
      </c>
      <c r="J26" s="9">
        <f t="shared" si="4"/>
        <v>333.55611376246782</v>
      </c>
    </row>
    <row r="27" spans="1:10">
      <c r="A27" s="9">
        <v>2.4</v>
      </c>
      <c r="B27" s="9">
        <v>-5</v>
      </c>
      <c r="C27" s="9">
        <f t="shared" si="0"/>
        <v>25.5</v>
      </c>
      <c r="D27" s="9">
        <f t="shared" si="5"/>
        <v>189.12</v>
      </c>
      <c r="E27" s="9">
        <f t="shared" si="6"/>
        <v>-3.323449647923201</v>
      </c>
      <c r="F27" s="9">
        <f t="shared" si="1"/>
        <v>33.983582336204805</v>
      </c>
      <c r="G27" s="9">
        <f t="shared" si="2"/>
        <v>251.08574099052404</v>
      </c>
      <c r="H27" s="9">
        <f t="shared" si="7"/>
        <v>-1.1690336927744001</v>
      </c>
      <c r="I27" s="9">
        <f t="shared" si="3"/>
        <v>37.1230247522304</v>
      </c>
      <c r="J27" s="9">
        <f t="shared" si="4"/>
        <v>328.10347000150972</v>
      </c>
    </row>
    <row r="28" spans="1:10">
      <c r="A28" s="9">
        <v>2.5</v>
      </c>
      <c r="B28" s="9">
        <v>-5</v>
      </c>
      <c r="C28" s="9">
        <f t="shared" si="0"/>
        <v>25</v>
      </c>
      <c r="D28" s="9">
        <f t="shared" si="5"/>
        <v>185.41666666666669</v>
      </c>
      <c r="E28" s="9">
        <f t="shared" si="6"/>
        <v>-3.3934329344819218</v>
      </c>
      <c r="F28" s="9">
        <f t="shared" si="1"/>
        <v>33.651237371412485</v>
      </c>
      <c r="G28" s="9">
        <f t="shared" si="2"/>
        <v>246.12585421196545</v>
      </c>
      <c r="H28" s="9">
        <f t="shared" si="7"/>
        <v>-1.2557769664102381</v>
      </c>
      <c r="I28" s="9">
        <f t="shared" si="3"/>
        <v>37.006121382952962</v>
      </c>
      <c r="J28" s="9">
        <f t="shared" si="4"/>
        <v>322.66733261826295</v>
      </c>
    </row>
    <row r="29" spans="1:10">
      <c r="A29" s="9">
        <v>2.6</v>
      </c>
      <c r="B29" s="9">
        <v>-5</v>
      </c>
      <c r="C29" s="9">
        <f t="shared" si="0"/>
        <v>24.5</v>
      </c>
      <c r="D29" s="9">
        <f t="shared" si="5"/>
        <v>181.78666666666669</v>
      </c>
      <c r="E29" s="9">
        <f t="shared" si="6"/>
        <v>-3.4604949485649943</v>
      </c>
      <c r="F29" s="9">
        <f t="shared" si="1"/>
        <v>33.31189407796429</v>
      </c>
      <c r="G29" s="9">
        <f t="shared" si="2"/>
        <v>241.21522457234448</v>
      </c>
      <c r="H29" s="9">
        <f t="shared" si="7"/>
        <v>-1.3419536046161911</v>
      </c>
      <c r="I29" s="9">
        <f t="shared" si="3"/>
        <v>36.880543686311938</v>
      </c>
      <c r="J29" s="9">
        <f t="shared" si="4"/>
        <v>317.24897717985021</v>
      </c>
    </row>
    <row r="30" spans="1:10">
      <c r="A30" s="9">
        <v>2.7</v>
      </c>
      <c r="B30" s="9">
        <v>-5</v>
      </c>
      <c r="C30" s="9">
        <f t="shared" si="0"/>
        <v>24</v>
      </c>
      <c r="D30" s="9">
        <f t="shared" si="5"/>
        <v>178.23000000000002</v>
      </c>
      <c r="E30" s="9">
        <f t="shared" si="6"/>
        <v>-3.5247576311857163</v>
      </c>
      <c r="F30" s="9">
        <f t="shared" si="1"/>
        <v>32.965844583107788</v>
      </c>
      <c r="G30" s="9">
        <f t="shared" si="2"/>
        <v>236.35485707053252</v>
      </c>
      <c r="H30" s="9">
        <f t="shared" si="7"/>
        <v>-1.4274598433390595</v>
      </c>
      <c r="I30" s="9">
        <f t="shared" si="3"/>
        <v>36.74634832585032</v>
      </c>
      <c r="J30" s="9">
        <f t="shared" si="4"/>
        <v>311.84967176562498</v>
      </c>
    </row>
    <row r="31" spans="1:10">
      <c r="A31" s="9">
        <v>2.8</v>
      </c>
      <c r="B31" s="9">
        <v>-5</v>
      </c>
      <c r="C31" s="9">
        <f t="shared" si="0"/>
        <v>23.5</v>
      </c>
      <c r="D31" s="9">
        <f t="shared" si="5"/>
        <v>174.7466666666667</v>
      </c>
      <c r="E31" s="9">
        <f t="shared" si="6"/>
        <v>-3.5863378332431157</v>
      </c>
      <c r="F31" s="9">
        <f t="shared" si="1"/>
        <v>32.613368819989219</v>
      </c>
      <c r="G31" s="9">
        <f t="shared" si="2"/>
        <v>231.54571475430541</v>
      </c>
      <c r="H31" s="9">
        <f t="shared" si="7"/>
        <v>-1.5122014970970128</v>
      </c>
      <c r="I31" s="9">
        <f t="shared" si="3"/>
        <v>36.603602341516414</v>
      </c>
      <c r="J31" s="9">
        <f t="shared" si="4"/>
        <v>306.47067538335142</v>
      </c>
    </row>
    <row r="32" spans="1:10">
      <c r="A32" s="9">
        <v>2.9</v>
      </c>
      <c r="B32" s="9">
        <v>-5</v>
      </c>
      <c r="C32" s="9">
        <f t="shared" si="0"/>
        <v>23</v>
      </c>
      <c r="D32" s="9">
        <f t="shared" si="5"/>
        <v>171.3366666666667</v>
      </c>
      <c r="E32" s="9">
        <f t="shared" si="6"/>
        <v>-3.6453475279956877</v>
      </c>
      <c r="F32" s="9">
        <f t="shared" si="1"/>
        <v>32.254735036664904</v>
      </c>
      <c r="G32" s="9">
        <f t="shared" si="2"/>
        <v>226.78872047148411</v>
      </c>
      <c r="H32" s="9">
        <f t="shared" si="7"/>
        <v>-1.596093408610878</v>
      </c>
      <c r="I32" s="9">
        <f t="shared" si="3"/>
        <v>36.452382191806713</v>
      </c>
      <c r="J32" s="9">
        <f t="shared" si="4"/>
        <v>301.11323651757436</v>
      </c>
    </row>
    <row r="33" spans="1:10">
      <c r="A33" s="9">
        <v>3</v>
      </c>
      <c r="B33" s="9">
        <v>-5</v>
      </c>
      <c r="C33" s="9">
        <f t="shared" si="0"/>
        <v>22.5</v>
      </c>
      <c r="D33" s="9">
        <f t="shared" si="5"/>
        <v>168.00000000000003</v>
      </c>
      <c r="E33" s="9">
        <f t="shared" si="6"/>
        <v>-3.701894014665962</v>
      </c>
      <c r="F33" s="9">
        <f t="shared" si="1"/>
        <v>31.890200283865337</v>
      </c>
      <c r="G33" s="9">
        <f t="shared" si="2"/>
        <v>222.08475854797857</v>
      </c>
      <c r="H33" s="9">
        <f t="shared" si="7"/>
        <v>-1.6790588620567235</v>
      </c>
      <c r="I33" s="9">
        <f t="shared" si="3"/>
        <v>36.292772850945624</v>
      </c>
      <c r="J33" s="9">
        <f t="shared" si="4"/>
        <v>295.77859181443921</v>
      </c>
    </row>
    <row r="34" spans="1:10">
      <c r="A34" s="9">
        <v>3.1</v>
      </c>
      <c r="B34" s="9">
        <v>-5</v>
      </c>
      <c r="C34" s="9">
        <f t="shared" si="0"/>
        <v>22</v>
      </c>
      <c r="D34" s="9">
        <f t="shared" si="5"/>
        <v>164.73666666666671</v>
      </c>
      <c r="E34" s="9">
        <f t="shared" si="6"/>
        <v>-3.756080113546135</v>
      </c>
      <c r="F34" s="9">
        <f t="shared" si="1"/>
        <v>31.52001088239874</v>
      </c>
      <c r="G34" s="9">
        <f t="shared" si="2"/>
        <v>217.43467639578586</v>
      </c>
      <c r="H34" s="9">
        <f t="shared" si="7"/>
        <v>-1.7610290268321152</v>
      </c>
      <c r="I34" s="9">
        <f t="shared" si="3"/>
        <v>36.124866964739951</v>
      </c>
      <c r="J34" s="9">
        <f t="shared" si="4"/>
        <v>290.46796489462224</v>
      </c>
    </row>
    <row r="35" spans="1:10">
      <c r="A35" s="9">
        <v>3.2</v>
      </c>
      <c r="B35" s="9">
        <v>-5</v>
      </c>
      <c r="C35" s="9">
        <f t="shared" si="0"/>
        <v>21.5</v>
      </c>
      <c r="D35" s="9">
        <f t="shared" si="5"/>
        <v>161.54666666666671</v>
      </c>
      <c r="E35" s="9">
        <f t="shared" si="6"/>
        <v>-3.8080043529594962</v>
      </c>
      <c r="F35" s="9">
        <f t="shared" si="1"/>
        <v>31.144402871044125</v>
      </c>
      <c r="G35" s="9">
        <f t="shared" si="2"/>
        <v>212.83928605386672</v>
      </c>
      <c r="H35" s="9">
        <f t="shared" si="7"/>
        <v>-1.8419424329364844</v>
      </c>
      <c r="I35" s="9">
        <f t="shared" si="3"/>
        <v>35.948764062056739</v>
      </c>
      <c r="J35" s="9">
        <f t="shared" si="4"/>
        <v>285.18256528599051</v>
      </c>
    </row>
    <row r="36" spans="1:10">
      <c r="A36" s="9">
        <v>3.3</v>
      </c>
      <c r="B36" s="9">
        <v>-5</v>
      </c>
      <c r="C36" s="9">
        <f t="shared" si="0"/>
        <v>21</v>
      </c>
      <c r="D36" s="9">
        <f t="shared" si="5"/>
        <v>158.43000000000004</v>
      </c>
      <c r="E36" s="9">
        <f t="shared" si="6"/>
        <v>-3.8577611484176502</v>
      </c>
      <c r="F36" s="9">
        <f t="shared" si="1"/>
        <v>30.763602435748176</v>
      </c>
      <c r="G36" s="9">
        <f t="shared" si="2"/>
        <v>208.29936566470195</v>
      </c>
      <c r="H36" s="9">
        <f t="shared" si="7"/>
        <v>-1.9217444764050455</v>
      </c>
      <c r="I36" s="9">
        <f t="shared" si="3"/>
        <v>35.764569818763093</v>
      </c>
      <c r="J36" s="9">
        <f t="shared" si="4"/>
        <v>279.92358746806372</v>
      </c>
    </row>
    <row r="37" spans="1:10">
      <c r="A37" s="9">
        <v>3.4</v>
      </c>
      <c r="B37" s="9">
        <v>-5</v>
      </c>
      <c r="C37" s="9">
        <f t="shared" si="0"/>
        <v>20.5</v>
      </c>
      <c r="D37" s="9">
        <f t="shared" si="5"/>
        <v>155.38666666666671</v>
      </c>
      <c r="E37" s="9">
        <f t="shared" si="6"/>
        <v>-3.9054409742992706</v>
      </c>
      <c r="F37" s="9">
        <f t="shared" si="1"/>
        <v>30.377826320906411</v>
      </c>
      <c r="G37" s="9">
        <f t="shared" si="2"/>
        <v>203.81566088921394</v>
      </c>
      <c r="H37" s="9">
        <f t="shared" si="7"/>
        <v>-2.0003869532059668</v>
      </c>
      <c r="I37" s="9">
        <f t="shared" si="3"/>
        <v>35.572395371122589</v>
      </c>
      <c r="J37" s="9">
        <f t="shared" si="4"/>
        <v>274.69221002080542</v>
      </c>
    </row>
    <row r="38" spans="1:10">
      <c r="A38" s="9">
        <v>3.5</v>
      </c>
      <c r="B38" s="9">
        <v>-5</v>
      </c>
      <c r="C38" s="9">
        <f t="shared" si="0"/>
        <v>20</v>
      </c>
      <c r="D38" s="9">
        <f t="shared" si="5"/>
        <v>152.41666666666671</v>
      </c>
      <c r="E38" s="9">
        <f t="shared" si="6"/>
        <v>-3.9511305283625648</v>
      </c>
      <c r="F38" s="9">
        <f t="shared" si="1"/>
        <v>29.987282223476484</v>
      </c>
      <c r="G38" s="9">
        <f t="shared" si="2"/>
        <v>199.38888626262587</v>
      </c>
      <c r="H38" s="9">
        <f t="shared" si="7"/>
        <v>-2.0778276200864711</v>
      </c>
      <c r="I38" s="9">
        <f t="shared" si="3"/>
        <v>35.372356675801996</v>
      </c>
      <c r="J38" s="9">
        <f t="shared" si="4"/>
        <v>269.4895948706976</v>
      </c>
    </row>
    <row r="39" spans="1:10">
      <c r="A39" s="9">
        <v>3.6</v>
      </c>
      <c r="B39" s="9">
        <v>-5</v>
      </c>
      <c r="C39" s="9">
        <f t="shared" si="0"/>
        <v>19.5</v>
      </c>
      <c r="D39" s="9">
        <f t="shared" si="5"/>
        <v>149.52000000000004</v>
      </c>
      <c r="E39" s="9">
        <f t="shared" si="6"/>
        <v>-3.9949128893905939</v>
      </c>
      <c r="F39" s="9">
        <f t="shared" si="1"/>
        <v>29.592169170640226</v>
      </c>
      <c r="G39" s="9">
        <f t="shared" si="2"/>
        <v>195.01972649372399</v>
      </c>
      <c r="H39" s="9">
        <f t="shared" si="7"/>
        <v>-2.1540297809302049</v>
      </c>
      <c r="I39" s="9">
        <f t="shared" si="3"/>
        <v>35.164573913793348</v>
      </c>
      <c r="J39" s="9">
        <f t="shared" si="4"/>
        <v>264.31688662746063</v>
      </c>
    </row>
    <row r="40" spans="1:10">
      <c r="A40" s="9">
        <v>3.7</v>
      </c>
      <c r="B40" s="9">
        <v>-5</v>
      </c>
      <c r="C40" s="9">
        <f t="shared" si="0"/>
        <v>19</v>
      </c>
      <c r="D40" s="9">
        <f t="shared" si="5"/>
        <v>146.69666666666672</v>
      </c>
      <c r="E40" s="9">
        <f t="shared" si="6"/>
        <v>-4.0368676682560904</v>
      </c>
      <c r="F40" s="9">
        <f t="shared" si="1"/>
        <v>29.192677881701165</v>
      </c>
      <c r="G40" s="9">
        <f t="shared" si="2"/>
        <v>190.70883770988561</v>
      </c>
      <c r="H40" s="9">
        <f t="shared" si="7"/>
        <v>-2.2289618972612488</v>
      </c>
      <c r="I40" s="9">
        <f t="shared" si="3"/>
        <v>34.94917093570033</v>
      </c>
      <c r="J40" s="9">
        <f t="shared" si="4"/>
        <v>259.17521200516444</v>
      </c>
    </row>
    <row r="41" spans="1:10">
      <c r="A41" s="9">
        <v>3.8</v>
      </c>
      <c r="B41" s="9">
        <v>-5</v>
      </c>
      <c r="C41" s="9">
        <f t="shared" si="0"/>
        <v>18.5</v>
      </c>
      <c r="D41" s="9">
        <f t="shared" si="5"/>
        <v>143.94666666666672</v>
      </c>
      <c r="E41" s="9">
        <f t="shared" si="6"/>
        <v>-4.0770711526804666</v>
      </c>
      <c r="F41" s="9">
        <f t="shared" si="1"/>
        <v>28.788991114875557</v>
      </c>
      <c r="G41" s="9">
        <f t="shared" si="2"/>
        <v>186.45684865013666</v>
      </c>
      <c r="H41" s="9">
        <f t="shared" si="7"/>
        <v>-2.3025972215996662</v>
      </c>
      <c r="I41" s="9">
        <f t="shared" si="3"/>
        <v>34.726274745974209</v>
      </c>
      <c r="J41" s="9">
        <f t="shared" si="4"/>
        <v>254.06567932184163</v>
      </c>
    </row>
    <row r="42" spans="1:10">
      <c r="A42" s="9">
        <v>3.9</v>
      </c>
      <c r="B42" s="9">
        <v>-5</v>
      </c>
      <c r="C42" s="9">
        <f t="shared" si="0"/>
        <v>18</v>
      </c>
      <c r="D42" s="9">
        <f t="shared" si="5"/>
        <v>141.27000000000004</v>
      </c>
      <c r="E42" s="9">
        <f t="shared" si="6"/>
        <v>-4.1155964459502234</v>
      </c>
      <c r="F42" s="9">
        <f t="shared" si="1"/>
        <v>28.381283999607511</v>
      </c>
      <c r="G42" s="9">
        <f t="shared" si="2"/>
        <v>182.2643618084079</v>
      </c>
      <c r="H42" s="9">
        <f t="shared" si="7"/>
        <v>-2.3749134524394608</v>
      </c>
      <c r="I42" s="9">
        <f t="shared" si="3"/>
        <v>34.496015023814245</v>
      </c>
      <c r="J42" s="9">
        <f t="shared" si="4"/>
        <v>248.98937807205715</v>
      </c>
    </row>
    <row r="43" spans="1:10">
      <c r="A43" s="9">
        <v>4</v>
      </c>
      <c r="B43" s="9">
        <v>-5</v>
      </c>
      <c r="C43" s="9">
        <f t="shared" si="0"/>
        <v>17.5</v>
      </c>
      <c r="D43" s="9">
        <f t="shared" si="5"/>
        <v>138.66666666666671</v>
      </c>
      <c r="E43" s="9">
        <f t="shared" si="6"/>
        <v>-4.1525135998430045</v>
      </c>
      <c r="F43" s="9">
        <f t="shared" si="1"/>
        <v>27.969724355012488</v>
      </c>
      <c r="G43" s="9">
        <f t="shared" si="2"/>
        <v>178.13195452906911</v>
      </c>
      <c r="H43" s="9">
        <f t="shared" si="7"/>
        <v>-2.4458924096826937</v>
      </c>
      <c r="I43" s="9">
        <f t="shared" si="3"/>
        <v>34.258523678570299</v>
      </c>
      <c r="J43" s="9">
        <f t="shared" si="4"/>
        <v>243.94737856721562</v>
      </c>
    </row>
    <row r="44" spans="1:10">
      <c r="A44" s="9">
        <v>4.0999999999999996</v>
      </c>
      <c r="B44" s="9">
        <v>-5</v>
      </c>
      <c r="C44" s="9">
        <f t="shared" si="0"/>
        <v>17</v>
      </c>
      <c r="D44" s="9">
        <f t="shared" si="5"/>
        <v>136.13666666666671</v>
      </c>
      <c r="E44" s="9">
        <f t="shared" si="6"/>
        <v>-4.1878897420049954</v>
      </c>
      <c r="F44" s="9">
        <f t="shared" si="1"/>
        <v>27.554472995028188</v>
      </c>
      <c r="G44" s="9">
        <f t="shared" si="2"/>
        <v>174.06018005673278</v>
      </c>
      <c r="H44" s="9">
        <f t="shared" si="7"/>
        <v>-2.5155197294231244</v>
      </c>
      <c r="I44" s="9">
        <f t="shared" si="3"/>
        <v>34.013934437602032</v>
      </c>
      <c r="J44" s="9">
        <f t="shared" si="4"/>
        <v>238.94073163869632</v>
      </c>
    </row>
    <row r="45" spans="1:10">
      <c r="A45" s="9">
        <v>4.2</v>
      </c>
      <c r="B45" s="9">
        <v>-5</v>
      </c>
      <c r="C45" s="9">
        <f t="shared" si="0"/>
        <v>16.5</v>
      </c>
      <c r="D45" s="9">
        <f t="shared" si="5"/>
        <v>133.68000000000004</v>
      </c>
      <c r="E45" s="9">
        <f t="shared" si="6"/>
        <v>-4.2217891980112752</v>
      </c>
      <c r="F45" s="9">
        <f t="shared" si="1"/>
        <v>27.135684020827689</v>
      </c>
      <c r="G45" s="9">
        <f t="shared" si="2"/>
        <v>170.04956854223667</v>
      </c>
      <c r="H45" s="9">
        <f t="shared" si="7"/>
        <v>-2.5837845770295376</v>
      </c>
      <c r="I45" s="9">
        <f t="shared" si="3"/>
        <v>33.762382464659723</v>
      </c>
      <c r="J45" s="9">
        <f t="shared" si="4"/>
        <v>233.97046839919713</v>
      </c>
    </row>
    <row r="46" spans="1:10">
      <c r="A46" s="9">
        <v>4.3</v>
      </c>
      <c r="B46" s="9">
        <v>-5</v>
      </c>
      <c r="C46" s="9">
        <f t="shared" si="0"/>
        <v>16</v>
      </c>
      <c r="D46" s="9">
        <f t="shared" si="5"/>
        <v>131.29666666666671</v>
      </c>
      <c r="E46" s="9">
        <f t="shared" si="6"/>
        <v>-4.2542736083310757</v>
      </c>
      <c r="F46" s="9">
        <f t="shared" si="1"/>
        <v>26.713505101026563</v>
      </c>
      <c r="G46" s="9">
        <f t="shared" si="2"/>
        <v>166.10062800663403</v>
      </c>
      <c r="H46" s="9">
        <f t="shared" si="7"/>
        <v>-2.6506793775328137</v>
      </c>
      <c r="I46" s="9">
        <f t="shared" si="3"/>
        <v>33.50400400695677</v>
      </c>
      <c r="J46" s="9">
        <f t="shared" si="4"/>
        <v>229.03760005794524</v>
      </c>
    </row>
    <row r="47" spans="1:10">
      <c r="A47" s="9">
        <v>4.4000000000000004</v>
      </c>
      <c r="B47" s="9">
        <v>-5</v>
      </c>
      <c r="C47" s="9">
        <f t="shared" si="0"/>
        <v>15.5</v>
      </c>
      <c r="D47" s="9">
        <f t="shared" si="5"/>
        <v>128.98666666666671</v>
      </c>
      <c r="E47" s="9">
        <f t="shared" si="6"/>
        <v>-4.2854020404106254</v>
      </c>
      <c r="F47" s="9">
        <f t="shared" si="1"/>
        <v>26.288077740193454</v>
      </c>
      <c r="G47" s="9">
        <f t="shared" si="2"/>
        <v>162.21384526494455</v>
      </c>
      <c r="H47" s="9">
        <f t="shared" si="7"/>
        <v>-2.7161995623720827</v>
      </c>
      <c r="I47" s="9">
        <f t="shared" si="3"/>
        <v>33.23893606920349</v>
      </c>
      <c r="J47" s="9">
        <f t="shared" si="4"/>
        <v>224.14311778569348</v>
      </c>
    </row>
    <row r="48" spans="1:10">
      <c r="A48" s="9">
        <v>4.5</v>
      </c>
      <c r="B48" s="9">
        <v>-5</v>
      </c>
      <c r="C48" s="9">
        <f t="shared" si="0"/>
        <v>15</v>
      </c>
      <c r="D48" s="9">
        <f t="shared" si="5"/>
        <v>126.75000000000004</v>
      </c>
      <c r="E48" s="9">
        <f t="shared" si="6"/>
        <v>-4.3152310960773823</v>
      </c>
      <c r="F48" s="9">
        <f t="shared" si="1"/>
        <v>25.859537536152391</v>
      </c>
      <c r="G48" s="9">
        <f t="shared" si="2"/>
        <v>158.38968681134585</v>
      </c>
      <c r="H48" s="9">
        <f t="shared" si="7"/>
        <v>-2.7803433316040143</v>
      </c>
      <c r="I48" s="9">
        <f t="shared" si="3"/>
        <v>32.96731611296628</v>
      </c>
      <c r="J48" s="9">
        <f t="shared" si="4"/>
        <v>219.2879926256677</v>
      </c>
    </row>
    <row r="49" spans="1:10">
      <c r="A49" s="9">
        <v>4.5999999999999996</v>
      </c>
      <c r="B49" s="9">
        <v>-5</v>
      </c>
      <c r="C49" s="9">
        <f t="shared" si="0"/>
        <v>14.5</v>
      </c>
      <c r="D49" s="9">
        <f t="shared" si="5"/>
        <v>124.58666666666672</v>
      </c>
      <c r="E49" s="9">
        <f t="shared" si="6"/>
        <v>-4.3438150144609571</v>
      </c>
      <c r="F49" s="9">
        <f t="shared" si="1"/>
        <v>25.428014426544653</v>
      </c>
      <c r="G49" s="9">
        <f t="shared" si="2"/>
        <v>154.62859966741473</v>
      </c>
      <c r="H49" s="9">
        <f t="shared" si="7"/>
        <v>-2.8431114307255556</v>
      </c>
      <c r="I49" s="9">
        <f t="shared" si="3"/>
        <v>32.689281779805881</v>
      </c>
      <c r="J49" s="9">
        <f t="shared" si="4"/>
        <v>214.47317544686442</v>
      </c>
    </row>
    <row r="50" spans="1:10">
      <c r="A50" s="9">
        <v>4.7</v>
      </c>
      <c r="B50" s="9">
        <v>-5</v>
      </c>
      <c r="C50" s="9">
        <f t="shared" si="0"/>
        <v>14</v>
      </c>
      <c r="D50" s="9">
        <f t="shared" si="5"/>
        <v>122.49666666666671</v>
      </c>
      <c r="E50" s="9">
        <f t="shared" si="6"/>
        <v>-4.3712057706178618</v>
      </c>
      <c r="F50" s="9">
        <f t="shared" si="1"/>
        <v>24.993632925098556</v>
      </c>
      <c r="G50" s="9">
        <f t="shared" si="2"/>
        <v>150.93101219496089</v>
      </c>
      <c r="H50" s="9">
        <f t="shared" si="7"/>
        <v>-2.9045069413044917</v>
      </c>
      <c r="I50" s="9">
        <f t="shared" si="3"/>
        <v>32.404970636733324</v>
      </c>
      <c r="J50" s="9">
        <f t="shared" si="4"/>
        <v>209.69959693631822</v>
      </c>
    </row>
    <row r="51" spans="1:10">
      <c r="A51" s="9">
        <v>4.8</v>
      </c>
      <c r="B51" s="9">
        <v>-5</v>
      </c>
      <c r="C51" s="9">
        <f t="shared" si="0"/>
        <v>13.5</v>
      </c>
      <c r="D51" s="9">
        <f t="shared" si="5"/>
        <v>120.48000000000005</v>
      </c>
      <c r="E51" s="9">
        <f t="shared" si="6"/>
        <v>-4.3974531700394222</v>
      </c>
      <c r="F51" s="9">
        <f t="shared" si="1"/>
        <v>24.556512348036769</v>
      </c>
      <c r="G51" s="9">
        <f t="shared" si="2"/>
        <v>147.29733487493095</v>
      </c>
      <c r="H51" s="9">
        <f t="shared" si="7"/>
        <v>-2.9645350846539076</v>
      </c>
      <c r="I51" s="9">
        <f t="shared" si="3"/>
        <v>32.114519942602875</v>
      </c>
      <c r="J51" s="9">
        <f t="shared" si="4"/>
        <v>204.96816762716691</v>
      </c>
    </row>
    <row r="52" spans="1:10">
      <c r="A52" s="9">
        <v>4.9000000000000004</v>
      </c>
      <c r="B52" s="9">
        <v>-5</v>
      </c>
      <c r="C52" s="9">
        <f t="shared" si="0"/>
        <v>13</v>
      </c>
      <c r="D52" s="9">
        <f t="shared" si="5"/>
        <v>118.53666666666672</v>
      </c>
      <c r="E52" s="9">
        <f t="shared" si="6"/>
        <v>-4.4226049392147075</v>
      </c>
      <c r="F52" s="9">
        <f t="shared" si="1"/>
        <v>24.116767031032825</v>
      </c>
      <c r="G52" s="9">
        <f t="shared" si="2"/>
        <v>143.72796105379919</v>
      </c>
      <c r="H52" s="9">
        <f t="shared" si="7"/>
        <v>-3.023203037826443</v>
      </c>
      <c r="I52" s="9">
        <f t="shared" si="3"/>
        <v>31.818066434137485</v>
      </c>
      <c r="J52" s="9">
        <f t="shared" si="4"/>
        <v>200.27977795953927</v>
      </c>
    </row>
    <row r="53" spans="1:10">
      <c r="A53" s="9">
        <v>5</v>
      </c>
      <c r="B53" s="9">
        <v>-5</v>
      </c>
      <c r="C53" s="9">
        <f t="shared" si="0"/>
        <v>12.5</v>
      </c>
      <c r="D53" s="9">
        <f t="shared" si="5"/>
        <v>116.66666666666671</v>
      </c>
      <c r="E53" s="9">
        <f t="shared" si="6"/>
        <v>-4.4467068124131304</v>
      </c>
      <c r="F53" s="9">
        <f t="shared" si="1"/>
        <v>23.674506537111355</v>
      </c>
      <c r="G53" s="9">
        <f t="shared" si="2"/>
        <v>140.22326765880194</v>
      </c>
      <c r="H53" s="9">
        <f t="shared" si="7"/>
        <v>-3.080519761241864</v>
      </c>
      <c r="I53" s="9">
        <f t="shared" si="3"/>
        <v>31.515746130354842</v>
      </c>
      <c r="J53" s="9">
        <f t="shared" si="4"/>
        <v>195.63529837147649</v>
      </c>
    </row>
    <row r="54" spans="1:10">
      <c r="A54" s="9">
        <v>5.0999999999999996</v>
      </c>
      <c r="B54" s="9">
        <v>-5</v>
      </c>
      <c r="C54" s="9">
        <f t="shared" si="0"/>
        <v>12</v>
      </c>
      <c r="D54" s="9">
        <f t="shared" si="5"/>
        <v>114.87000000000005</v>
      </c>
      <c r="E54" s="9">
        <f t="shared" si="6"/>
        <v>-4.469802614844542</v>
      </c>
      <c r="F54" s="9">
        <f t="shared" si="1"/>
        <v>23.229835855870043</v>
      </c>
      <c r="G54" s="9">
        <f t="shared" si="2"/>
        <v>136.78361588331666</v>
      </c>
      <c r="H54" s="9">
        <f t="shared" si="7"/>
        <v>-3.1364958372973946</v>
      </c>
      <c r="I54" s="9">
        <f t="shared" si="3"/>
        <v>31.207694154230655</v>
      </c>
      <c r="J54" s="9">
        <f t="shared" si="4"/>
        <v>191.03557941727357</v>
      </c>
    </row>
    <row r="55" spans="1:10">
      <c r="A55" s="9">
        <v>5.2</v>
      </c>
      <c r="B55" s="9">
        <v>-5</v>
      </c>
      <c r="C55" s="9">
        <f t="shared" si="0"/>
        <v>11.5</v>
      </c>
      <c r="D55" s="9">
        <f t="shared" si="5"/>
        <v>113.14666666666672</v>
      </c>
      <c r="E55" s="9">
        <f t="shared" si="6"/>
        <v>-4.4919343423480171</v>
      </c>
      <c r="F55" s="9">
        <f t="shared" si="1"/>
        <v>22.782855594385587</v>
      </c>
      <c r="G55" s="9">
        <f t="shared" si="2"/>
        <v>133.40935184363124</v>
      </c>
      <c r="H55" s="9">
        <f t="shared" si="7"/>
        <v>-3.1911433193442451</v>
      </c>
      <c r="I55" s="9">
        <f t="shared" si="3"/>
        <v>30.894044570500917</v>
      </c>
      <c r="J55" s="9">
        <f t="shared" si="4"/>
        <v>186.48145191079325</v>
      </c>
    </row>
    <row r="56" spans="1:10">
      <c r="A56" s="9">
        <v>5.3</v>
      </c>
      <c r="B56" s="9">
        <v>-5</v>
      </c>
      <c r="C56" s="9">
        <f t="shared" si="0"/>
        <v>11</v>
      </c>
      <c r="D56" s="9">
        <f t="shared" si="5"/>
        <v>111.49666666666671</v>
      </c>
      <c r="E56" s="9">
        <f t="shared" si="6"/>
        <v>-4.5131422377542352</v>
      </c>
      <c r="F56" s="9">
        <f t="shared" si="1"/>
        <v>22.333662160150787</v>
      </c>
      <c r="G56" s="9">
        <f t="shared" si="2"/>
        <v>130.10080720829856</v>
      </c>
      <c r="H56" s="9">
        <f t="shared" si="7"/>
        <v>-3.244475590446132</v>
      </c>
      <c r="I56" s="9">
        <f t="shared" si="3"/>
        <v>30.574930238566491</v>
      </c>
      <c r="J56" s="9">
        <f t="shared" si="4"/>
        <v>181.97372709146165</v>
      </c>
    </row>
    <row r="57" spans="1:10">
      <c r="A57" s="9">
        <v>5.4</v>
      </c>
      <c r="B57" s="9">
        <v>-5</v>
      </c>
      <c r="C57" s="9">
        <f t="shared" si="0"/>
        <v>10.5</v>
      </c>
      <c r="D57" s="9">
        <f t="shared" si="5"/>
        <v>109.92000000000004</v>
      </c>
      <c r="E57" s="9">
        <f t="shared" si="6"/>
        <v>-4.5334648640603152</v>
      </c>
      <c r="F57" s="9">
        <f t="shared" si="1"/>
        <v>21.882347936375364</v>
      </c>
      <c r="G57" s="9">
        <f t="shared" si="2"/>
        <v>126.85829980121997</v>
      </c>
      <c r="H57" s="9">
        <f t="shared" si="7"/>
        <v>-3.2965072313662818</v>
      </c>
      <c r="I57" s="9">
        <f t="shared" si="3"/>
        <v>30.250482679521877</v>
      </c>
      <c r="J57" s="9">
        <f t="shared" si="4"/>
        <v>177.51319681080184</v>
      </c>
    </row>
    <row r="58" spans="1:10">
      <c r="A58" s="9">
        <v>5.5</v>
      </c>
      <c r="B58" s="9">
        <v>-5</v>
      </c>
      <c r="C58" s="9">
        <f t="shared" si="0"/>
        <v>10</v>
      </c>
      <c r="D58" s="9">
        <f t="shared" si="5"/>
        <v>108.41666666666671</v>
      </c>
      <c r="E58" s="9">
        <f t="shared" si="6"/>
        <v>-4.5529391745501462</v>
      </c>
      <c r="F58" s="9">
        <f t="shared" si="1"/>
        <v>21.429001449969334</v>
      </c>
      <c r="G58" s="9">
        <f t="shared" si="2"/>
        <v>123.68213417955469</v>
      </c>
      <c r="H58" s="9">
        <f t="shared" si="7"/>
        <v>-3.3472538972586054</v>
      </c>
      <c r="I58" s="9">
        <f t="shared" si="3"/>
        <v>29.92083195638525</v>
      </c>
      <c r="J58" s="9">
        <f t="shared" si="4"/>
        <v>173.10063373750199</v>
      </c>
    </row>
    <row r="59" spans="1:10">
      <c r="A59" s="9">
        <v>5.6</v>
      </c>
      <c r="B59" s="9">
        <v>-5</v>
      </c>
      <c r="C59" s="9">
        <f t="shared" si="0"/>
        <v>9.5</v>
      </c>
      <c r="D59" s="9">
        <f t="shared" si="5"/>
        <v>106.98666666666671</v>
      </c>
      <c r="E59" s="9">
        <f t="shared" si="6"/>
        <v>-4.5716005799877335</v>
      </c>
      <c r="F59" s="9">
        <f t="shared" si="1"/>
        <v>20.973707532514318</v>
      </c>
      <c r="G59" s="9">
        <f t="shared" si="2"/>
        <v>120.57260218750589</v>
      </c>
      <c r="H59" s="9">
        <f t="shared" si="7"/>
        <v>-3.3967322025663664</v>
      </c>
      <c r="I59" s="9">
        <f t="shared" si="3"/>
        <v>29.586106566659389</v>
      </c>
      <c r="J59" s="9">
        <f t="shared" si="4"/>
        <v>168.73679157914538</v>
      </c>
    </row>
    <row r="60" spans="1:10">
      <c r="A60" s="9">
        <v>5.7</v>
      </c>
      <c r="B60" s="9">
        <v>-5</v>
      </c>
      <c r="C60" s="9">
        <f t="shared" si="0"/>
        <v>9</v>
      </c>
      <c r="D60" s="9">
        <f t="shared" si="5"/>
        <v>105.63000000000004</v>
      </c>
      <c r="E60" s="9">
        <f t="shared" si="6"/>
        <v>-4.5894830130057276</v>
      </c>
      <c r="F60" s="9">
        <f t="shared" si="1"/>
        <v>20.516547474515544</v>
      </c>
      <c r="G60" s="9">
        <f t="shared" si="2"/>
        <v>117.52998348699037</v>
      </c>
      <c r="H60" s="9">
        <f t="shared" si="7"/>
        <v>-3.4449596136580283</v>
      </c>
      <c r="I60" s="9">
        <f t="shared" si="3"/>
        <v>29.246433346402753</v>
      </c>
      <c r="J60" s="9">
        <f t="shared" si="4"/>
        <v>164.42240531885415</v>
      </c>
    </row>
    <row r="61" spans="1:10">
      <c r="A61" s="9">
        <v>5.8</v>
      </c>
      <c r="B61" s="9">
        <v>-5</v>
      </c>
      <c r="C61" s="9">
        <f t="shared" si="0"/>
        <v>8.5</v>
      </c>
      <c r="D61" s="9">
        <f t="shared" si="5"/>
        <v>104.34666666666671</v>
      </c>
      <c r="E61" s="9">
        <f t="shared" si="6"/>
        <v>-4.6066189898062175</v>
      </c>
      <c r="F61" s="9">
        <f t="shared" si="1"/>
        <v>20.057599173214971</v>
      </c>
      <c r="G61" s="9">
        <f t="shared" si="2"/>
        <v>114.5545460661568</v>
      </c>
      <c r="H61" s="9">
        <f t="shared" si="7"/>
        <v>-3.4919543487548839</v>
      </c>
      <c r="I61" s="9">
        <f t="shared" si="3"/>
        <v>28.901937385036952</v>
      </c>
      <c r="J61" s="9">
        <f t="shared" si="4"/>
        <v>160.15819146521522</v>
      </c>
    </row>
    <row r="62" spans="1:10">
      <c r="A62" s="9">
        <v>5.9</v>
      </c>
      <c r="B62" s="9">
        <v>-5</v>
      </c>
      <c r="C62" s="9">
        <f t="shared" si="0"/>
        <v>8</v>
      </c>
      <c r="D62" s="9">
        <f t="shared" si="5"/>
        <v>103.13666666666671</v>
      </c>
      <c r="E62" s="9">
        <f t="shared" si="6"/>
        <v>-4.6230396692859888</v>
      </c>
      <c r="F62" s="9">
        <f t="shared" si="1"/>
        <v>19.59693727423435</v>
      </c>
      <c r="G62" s="9">
        <f t="shared" si="2"/>
        <v>111.64654672667719</v>
      </c>
      <c r="H62" s="9">
        <f t="shared" si="7"/>
        <v>-3.5377352847287926</v>
      </c>
      <c r="I62" s="9">
        <f t="shared" si="3"/>
        <v>28.552741950161462</v>
      </c>
      <c r="J62" s="9">
        <f t="shared" si="4"/>
        <v>155.94484831396733</v>
      </c>
    </row>
    <row r="63" spans="1:10">
      <c r="A63" s="9">
        <v>6</v>
      </c>
      <c r="B63" s="9">
        <v>-5</v>
      </c>
      <c r="C63" s="9">
        <f t="shared" si="0"/>
        <v>7.5</v>
      </c>
      <c r="D63" s="9">
        <f t="shared" si="5"/>
        <v>102.00000000000004</v>
      </c>
      <c r="E63" s="9">
        <f t="shared" si="6"/>
        <v>-4.6387749096937396</v>
      </c>
      <c r="F63" s="9">
        <f t="shared" si="1"/>
        <v>19.134633307305752</v>
      </c>
      <c r="G63" s="9">
        <f t="shared" si="2"/>
        <v>108.80623155069758</v>
      </c>
      <c r="H63" s="9">
        <f t="shared" si="7"/>
        <v>-3.582321870370845</v>
      </c>
      <c r="I63" s="9">
        <f t="shared" si="3"/>
        <v>28.198968421688583</v>
      </c>
      <c r="J63" s="9">
        <f t="shared" si="4"/>
        <v>151.78305622003165</v>
      </c>
    </row>
    <row r="64" spans="1:10">
      <c r="A64" s="9">
        <v>6.1</v>
      </c>
      <c r="B64" s="9">
        <v>-5</v>
      </c>
      <c r="C64" s="9">
        <f t="shared" si="0"/>
        <v>7</v>
      </c>
      <c r="D64" s="9">
        <f t="shared" si="5"/>
        <v>100.93666666666671</v>
      </c>
      <c r="E64" s="9">
        <f t="shared" si="6"/>
        <v>-4.6538533229223011</v>
      </c>
      <c r="F64" s="9">
        <f t="shared" si="1"/>
        <v>18.670755816336378</v>
      </c>
      <c r="G64" s="9">
        <f t="shared" si="2"/>
        <v>106.03383634829716</v>
      </c>
      <c r="H64" s="9">
        <f t="shared" si="7"/>
        <v>-3.6257340457531329</v>
      </c>
      <c r="I64" s="9">
        <f t="shared" si="3"/>
        <v>27.840736234651498</v>
      </c>
      <c r="J64" s="9">
        <f t="shared" si="4"/>
        <v>147.6734778785667</v>
      </c>
    </row>
    <row r="65" spans="1:10">
      <c r="A65" s="9">
        <v>6.2</v>
      </c>
      <c r="B65" s="9">
        <v>-5</v>
      </c>
      <c r="C65" s="9">
        <f t="shared" si="0"/>
        <v>6.5</v>
      </c>
      <c r="D65" s="9">
        <f t="shared" si="5"/>
        <v>99.946666666666715</v>
      </c>
      <c r="E65" s="9">
        <f t="shared" si="6"/>
        <v>-4.6683023265345511</v>
      </c>
      <c r="F65" s="9">
        <f t="shared" si="1"/>
        <v>18.205370484044149</v>
      </c>
      <c r="G65" s="9">
        <f t="shared" si="2"/>
        <v>103.32958708626926</v>
      </c>
      <c r="H65" s="9">
        <f t="shared" si="7"/>
        <v>-3.667992167326048</v>
      </c>
      <c r="I65" s="9">
        <f t="shared" si="3"/>
        <v>27.478162830076183</v>
      </c>
      <c r="J65" s="9">
        <f t="shared" si="4"/>
        <v>143.61675861382</v>
      </c>
    </row>
    <row r="66" spans="1:10">
      <c r="A66" s="10">
        <v>6.3</v>
      </c>
      <c r="B66" s="10">
        <v>-5</v>
      </c>
      <c r="C66" s="10">
        <f t="shared" si="0"/>
        <v>6</v>
      </c>
      <c r="D66" s="9">
        <f t="shared" si="5"/>
        <v>99.030000000000044</v>
      </c>
      <c r="E66" s="10">
        <f t="shared" si="6"/>
        <v>-4.6821481936176594</v>
      </c>
      <c r="F66" s="10">
        <f t="shared" si="1"/>
        <v>17.738540251390695</v>
      </c>
      <c r="G66" s="9">
        <f t="shared" si="2"/>
        <v>100.69370029900404</v>
      </c>
      <c r="H66" s="9">
        <f t="shared" si="7"/>
        <v>-3.709116938412814</v>
      </c>
      <c r="I66" s="9">
        <f t="shared" si="3"/>
        <v>27.111363613343578</v>
      </c>
      <c r="J66" s="9">
        <f t="shared" si="4"/>
        <v>139.61352667463589</v>
      </c>
    </row>
    <row r="67" spans="1:10">
      <c r="A67" s="9">
        <v>6.4</v>
      </c>
      <c r="B67" s="9">
        <v>-5</v>
      </c>
      <c r="C67" s="9">
        <f t="shared" si="0"/>
        <v>5.5</v>
      </c>
      <c r="D67" s="9">
        <f t="shared" si="5"/>
        <v>98.18666666666671</v>
      </c>
      <c r="E67" s="9">
        <f t="shared" si="6"/>
        <v>-4.6954161005562787</v>
      </c>
      <c r="F67" s="9">
        <f t="shared" si="1"/>
        <v>17.27032543202893</v>
      </c>
      <c r="G67" s="11">
        <f>D67</f>
        <v>98.18666666666671</v>
      </c>
      <c r="H67" s="9">
        <f t="shared" si="7"/>
        <v>-3.7491293447811529</v>
      </c>
      <c r="I67" s="9">
        <f t="shared" si="3"/>
        <v>26.740451919502295</v>
      </c>
      <c r="J67" s="9">
        <f t="shared" si="4"/>
        <v>135.66439353556052</v>
      </c>
    </row>
    <row r="68" spans="1:10">
      <c r="A68" s="9">
        <v>6.5</v>
      </c>
      <c r="B68" s="9">
        <v>-5</v>
      </c>
      <c r="C68" s="9">
        <f t="shared" si="0"/>
        <v>5</v>
      </c>
      <c r="D68" s="9">
        <f t="shared" si="5"/>
        <v>97.416666666666714</v>
      </c>
      <c r="E68" s="9">
        <f t="shared" si="6"/>
        <v>-4.7081301728115719</v>
      </c>
      <c r="F68" s="9">
        <f t="shared" si="1"/>
        <v>16.800783821973301</v>
      </c>
      <c r="G68" s="9">
        <f t="shared" ref="G68:G103" si="8">D68</f>
        <v>97.416666666666714</v>
      </c>
      <c r="H68" s="9">
        <f t="shared" si="7"/>
        <v>-3.7880505949893464</v>
      </c>
      <c r="I68" s="9">
        <f t="shared" si="3"/>
        <v>26.36553898502418</v>
      </c>
      <c r="J68" s="9">
        <f t="shared" si="4"/>
        <v>131.76995420256191</v>
      </c>
    </row>
    <row r="69" spans="1:10">
      <c r="A69" s="9">
        <v>6.6</v>
      </c>
      <c r="B69" s="9">
        <v>-5</v>
      </c>
      <c r="C69" s="9">
        <f t="shared" ref="C69:C103" si="9">C68+0.1*B68</f>
        <v>4.5</v>
      </c>
      <c r="D69" s="9">
        <f t="shared" si="5"/>
        <v>96.720000000000041</v>
      </c>
      <c r="E69" s="9">
        <f t="shared" si="6"/>
        <v>-4.7203135287893208</v>
      </c>
      <c r="F69" s="9">
        <f t="shared" ref="F69:F103" si="10">F68+0.1*E68</f>
        <v>16.329970804692145</v>
      </c>
      <c r="G69" s="9">
        <f t="shared" si="8"/>
        <v>96.720000000000041</v>
      </c>
      <c r="H69" s="9">
        <f t="shared" si="7"/>
        <v>-3.8259020652203519</v>
      </c>
      <c r="I69" s="9">
        <f t="shared" ref="I69:I103" si="11">I68+0.1*H68</f>
        <v>25.986733925525247</v>
      </c>
      <c r="J69" s="9">
        <f t="shared" ref="J69:J78" si="12">J68-(I68+I69)/2*5280/3600*0.1</f>
        <v>127.93078752245495</v>
      </c>
    </row>
    <row r="70" spans="1:10">
      <c r="A70" s="9">
        <v>6.7</v>
      </c>
      <c r="B70" s="9">
        <v>-5</v>
      </c>
      <c r="C70" s="9">
        <f t="shared" si="9"/>
        <v>4</v>
      </c>
      <c r="D70" s="9">
        <f t="shared" ref="D70:D103" si="13">D69-((C69+C70)/2)*(5280/3600)*0.1</f>
        <v>96.096666666666707</v>
      </c>
      <c r="E70" s="9">
        <f t="shared" si="6"/>
        <v>-4.7319883218768579</v>
      </c>
      <c r="F70" s="9">
        <f t="shared" si="10"/>
        <v>15.857939451813213</v>
      </c>
      <c r="G70" s="9">
        <f t="shared" si="8"/>
        <v>96.096666666666707</v>
      </c>
      <c r="H70" s="9">
        <f t="shared" si="7"/>
        <v>-3.8627052483332407</v>
      </c>
      <c r="I70" s="9">
        <f t="shared" si="11"/>
        <v>25.604143719003211</v>
      </c>
      <c r="J70" s="9">
        <f t="shared" si="12"/>
        <v>124.14745649518953</v>
      </c>
    </row>
    <row r="71" spans="1:10">
      <c r="A71" s="9">
        <v>6.8</v>
      </c>
      <c r="B71" s="9">
        <v>-5</v>
      </c>
      <c r="C71" s="9">
        <f t="shared" si="9"/>
        <v>3.5</v>
      </c>
      <c r="D71" s="9">
        <f t="shared" si="13"/>
        <v>95.546666666666709</v>
      </c>
      <c r="E71" s="9">
        <f t="shared" si="6"/>
        <v>-4.7431757807252852</v>
      </c>
      <c r="F71" s="9">
        <f t="shared" si="10"/>
        <v>15.384740619625527</v>
      </c>
      <c r="G71" s="9">
        <f t="shared" si="8"/>
        <v>95.546666666666709</v>
      </c>
      <c r="H71" s="9">
        <f t="shared" si="7"/>
        <v>-3.8984817068759998</v>
      </c>
      <c r="I71" s="9">
        <f t="shared" si="11"/>
        <v>25.217873194169886</v>
      </c>
      <c r="J71" s="9">
        <f t="shared" si="12"/>
        <v>120.4205085882235</v>
      </c>
    </row>
    <row r="72" spans="1:10">
      <c r="A72" s="9">
        <v>6.9</v>
      </c>
      <c r="B72" s="9">
        <v>-5</v>
      </c>
      <c r="C72" s="9">
        <f t="shared" si="9"/>
        <v>3</v>
      </c>
      <c r="D72" s="9">
        <f t="shared" si="13"/>
        <v>95.070000000000036</v>
      </c>
      <c r="E72" s="9">
        <f t="shared" si="6"/>
        <v>-4.7538962478502107</v>
      </c>
      <c r="F72" s="9">
        <f t="shared" si="10"/>
        <v>14.910423041552999</v>
      </c>
      <c r="G72" s="9">
        <f t="shared" si="8"/>
        <v>95.070000000000036</v>
      </c>
      <c r="H72" s="9">
        <f t="shared" si="7"/>
        <v>-3.9332530298177439</v>
      </c>
      <c r="I72" s="9">
        <f t="shared" si="11"/>
        <v>24.828025023482287</v>
      </c>
      <c r="J72" s="9">
        <f t="shared" si="12"/>
        <v>116.75047605226234</v>
      </c>
    </row>
    <row r="73" spans="1:10">
      <c r="A73" s="9">
        <v>7</v>
      </c>
      <c r="B73" s="9">
        <v>-5</v>
      </c>
      <c r="C73" s="9">
        <f t="shared" si="9"/>
        <v>2.5</v>
      </c>
      <c r="D73" s="9">
        <f t="shared" si="13"/>
        <v>94.6666666666667</v>
      </c>
      <c r="E73" s="9">
        <f t="shared" si="6"/>
        <v>-4.7641692166212</v>
      </c>
      <c r="F73" s="9">
        <f t="shared" si="10"/>
        <v>14.435033416767977</v>
      </c>
      <c r="G73" s="9">
        <f t="shared" si="8"/>
        <v>94.6666666666667</v>
      </c>
      <c r="H73" s="9">
        <f t="shared" si="7"/>
        <v>-3.9670407927717153</v>
      </c>
      <c r="I73" s="9">
        <f t="shared" si="11"/>
        <v>24.434699720500511</v>
      </c>
      <c r="J73" s="9">
        <f t="shared" si="12"/>
        <v>113.13787623770361</v>
      </c>
    </row>
    <row r="74" spans="1:10">
      <c r="A74" s="9">
        <v>7.1</v>
      </c>
      <c r="B74" s="9">
        <v>-5</v>
      </c>
      <c r="C74" s="9">
        <f t="shared" si="9"/>
        <v>2</v>
      </c>
      <c r="D74" s="9">
        <f t="shared" si="13"/>
        <v>94.336666666666702</v>
      </c>
      <c r="E74" s="9">
        <f t="shared" si="6"/>
        <v>-4.7740133667071909</v>
      </c>
      <c r="F74" s="9">
        <f t="shared" si="10"/>
        <v>13.958616495105858</v>
      </c>
      <c r="G74" s="9">
        <f t="shared" si="8"/>
        <v>94.336666666666702</v>
      </c>
      <c r="H74" s="9">
        <f t="shared" si="7"/>
        <v>-3.9998665214930136</v>
      </c>
      <c r="I74" s="9">
        <f t="shared" si="11"/>
        <v>24.03799564122334</v>
      </c>
      <c r="J74" s="9">
        <f t="shared" si="12"/>
        <v>109.58321191117719</v>
      </c>
    </row>
    <row r="75" spans="1:10">
      <c r="A75" s="9">
        <v>7.2</v>
      </c>
      <c r="B75" s="9">
        <v>-5</v>
      </c>
      <c r="C75" s="9">
        <f t="shared" si="9"/>
        <v>1.5</v>
      </c>
      <c r="D75" s="9">
        <f t="shared" si="13"/>
        <v>94.080000000000041</v>
      </c>
      <c r="E75" s="9">
        <f t="shared" si="6"/>
        <v>-4.7834465980423433</v>
      </c>
      <c r="F75" s="9">
        <f t="shared" si="10"/>
        <v>13.481215158435139</v>
      </c>
      <c r="G75" s="9">
        <f t="shared" si="8"/>
        <v>94.080000000000041</v>
      </c>
      <c r="H75" s="9">
        <f t="shared" si="7"/>
        <v>-4.0317516584469928</v>
      </c>
      <c r="I75" s="9">
        <f t="shared" si="11"/>
        <v>23.638008989074038</v>
      </c>
      <c r="J75" s="9">
        <f t="shared" si="12"/>
        <v>106.08697157162204</v>
      </c>
    </row>
    <row r="76" spans="1:10">
      <c r="A76" s="9">
        <v>7.3</v>
      </c>
      <c r="B76" s="9">
        <v>-5</v>
      </c>
      <c r="C76" s="9">
        <f t="shared" si="9"/>
        <v>1</v>
      </c>
      <c r="D76" s="9">
        <f t="shared" si="13"/>
        <v>93.896666666666704</v>
      </c>
      <c r="E76" s="9">
        <f t="shared" si="6"/>
        <v>-4.7924860633740556</v>
      </c>
      <c r="F76" s="9">
        <f t="shared" si="10"/>
        <v>13.002870498630905</v>
      </c>
      <c r="G76" s="9">
        <f t="shared" si="8"/>
        <v>93.896666666666704</v>
      </c>
      <c r="H76" s="9">
        <f t="shared" si="7"/>
        <v>-4.0627175322555598</v>
      </c>
      <c r="I76" s="9">
        <f t="shared" si="11"/>
        <v>23.234833823229337</v>
      </c>
      <c r="J76" s="9">
        <f t="shared" si="12"/>
        <v>102.64962976538646</v>
      </c>
    </row>
    <row r="77" spans="1:10">
      <c r="A77" s="9">
        <v>7.4</v>
      </c>
      <c r="B77" s="9">
        <v>-5</v>
      </c>
      <c r="C77" s="9">
        <f t="shared" si="9"/>
        <v>0.5</v>
      </c>
      <c r="D77" s="9">
        <f t="shared" si="13"/>
        <v>93.786666666666704</v>
      </c>
      <c r="E77" s="9">
        <f t="shared" si="6"/>
        <v>-4.8011481994523626</v>
      </c>
      <c r="F77" s="9">
        <f t="shared" si="10"/>
        <v>12.5236218922935</v>
      </c>
      <c r="G77" s="9">
        <f t="shared" si="8"/>
        <v>93.786666666666704</v>
      </c>
      <c r="H77" s="9">
        <f t="shared" si="7"/>
        <v>-4.0927853298393728</v>
      </c>
      <c r="I77" s="9">
        <f t="shared" si="11"/>
        <v>22.82856207000378</v>
      </c>
      <c r="J77" s="9">
        <f t="shared" si="12"/>
        <v>99.27164739988271</v>
      </c>
    </row>
    <row r="78" spans="1:10">
      <c r="A78" s="9">
        <v>7.5</v>
      </c>
      <c r="B78" s="9">
        <v>0</v>
      </c>
      <c r="C78" s="9">
        <f t="shared" si="9"/>
        <v>0</v>
      </c>
      <c r="D78" s="9">
        <f t="shared" si="13"/>
        <v>93.750000000000043</v>
      </c>
      <c r="E78" s="9">
        <f t="shared" si="6"/>
        <v>-4.8094487569174005</v>
      </c>
      <c r="F78" s="9">
        <f t="shared" si="10"/>
        <v>12.043507072348264</v>
      </c>
      <c r="G78" s="9">
        <f t="shared" si="8"/>
        <v>93.750000000000043</v>
      </c>
      <c r="H78" s="9">
        <f t="shared" si="7"/>
        <v>-4.121976071084112</v>
      </c>
      <c r="I78" s="9">
        <f t="shared" si="11"/>
        <v>22.419283537019844</v>
      </c>
      <c r="J78" s="9">
        <f t="shared" si="12"/>
        <v>95.953472055367641</v>
      </c>
    </row>
    <row r="79" spans="1:10">
      <c r="A79" s="9">
        <v>7.6</v>
      </c>
      <c r="B79" s="9">
        <v>0</v>
      </c>
      <c r="C79" s="9">
        <f t="shared" si="9"/>
        <v>0</v>
      </c>
      <c r="D79" s="9">
        <f t="shared" si="13"/>
        <v>93.750000000000043</v>
      </c>
      <c r="E79" s="9">
        <f t="shared" si="6"/>
        <v>-4.817402828939306</v>
      </c>
      <c r="F79" s="9">
        <f t="shared" si="10"/>
        <v>11.562562196656524</v>
      </c>
      <c r="G79" s="9">
        <f t="shared" si="8"/>
        <v>93.750000000000043</v>
      </c>
      <c r="H79" s="9">
        <f t="shared" si="7"/>
        <v>-4.150310585868632</v>
      </c>
      <c r="I79" s="9">
        <f t="shared" si="11"/>
        <v>22.007085929911433</v>
      </c>
      <c r="J79" s="11">
        <f>G79</f>
        <v>93.750000000000043</v>
      </c>
    </row>
    <row r="80" spans="1:10">
      <c r="A80" s="9">
        <v>7.7</v>
      </c>
      <c r="B80" s="9">
        <v>0</v>
      </c>
      <c r="C80" s="9">
        <f t="shared" si="9"/>
        <v>0</v>
      </c>
      <c r="D80" s="9">
        <f t="shared" si="13"/>
        <v>93.750000000000043</v>
      </c>
      <c r="E80" s="9">
        <f t="shared" ref="E80:E103" si="14">0.4*(C79-F79)</f>
        <v>-4.62502487866261</v>
      </c>
      <c r="F80" s="9">
        <f t="shared" si="10"/>
        <v>11.080821913762593</v>
      </c>
      <c r="G80" s="9">
        <f t="shared" si="8"/>
        <v>93.750000000000043</v>
      </c>
      <c r="H80" s="9">
        <f t="shared" si="7"/>
        <v>-4.1778094933019636</v>
      </c>
      <c r="I80" s="9">
        <f t="shared" si="11"/>
        <v>21.592054871324571</v>
      </c>
      <c r="J80" s="9">
        <f t="shared" ref="J80:J103" si="15">G80</f>
        <v>93.750000000000043</v>
      </c>
    </row>
    <row r="81" spans="1:10">
      <c r="A81" s="9">
        <v>7.8</v>
      </c>
      <c r="B81" s="9">
        <v>0</v>
      </c>
      <c r="C81" s="9">
        <f t="shared" si="9"/>
        <v>0</v>
      </c>
      <c r="D81" s="9">
        <f t="shared" si="13"/>
        <v>93.750000000000043</v>
      </c>
      <c r="E81" s="9">
        <f t="shared" si="14"/>
        <v>-4.4323287655050372</v>
      </c>
      <c r="F81" s="9">
        <f t="shared" si="10"/>
        <v>10.618319425896331</v>
      </c>
      <c r="G81" s="9">
        <f t="shared" si="8"/>
        <v>93.750000000000043</v>
      </c>
      <c r="H81" s="9">
        <f t="shared" si="7"/>
        <v>-4.2044931830247911</v>
      </c>
      <c r="I81" s="9">
        <f t="shared" si="11"/>
        <v>21.174273921994374</v>
      </c>
      <c r="J81" s="9">
        <f t="shared" si="15"/>
        <v>93.750000000000043</v>
      </c>
    </row>
    <row r="82" spans="1:10">
      <c r="A82" s="9">
        <v>7.9</v>
      </c>
      <c r="B82" s="9">
        <v>0</v>
      </c>
      <c r="C82" s="9">
        <f t="shared" si="9"/>
        <v>0</v>
      </c>
      <c r="D82" s="9">
        <f t="shared" si="13"/>
        <v>93.750000000000043</v>
      </c>
      <c r="E82" s="9">
        <f t="shared" si="14"/>
        <v>-4.2473277703585328</v>
      </c>
      <c r="F82" s="9">
        <f t="shared" si="10"/>
        <v>10.175086549345828</v>
      </c>
      <c r="G82" s="9">
        <f t="shared" si="8"/>
        <v>93.750000000000043</v>
      </c>
      <c r="H82" s="9">
        <f t="shared" si="7"/>
        <v>-4.2223817984392173</v>
      </c>
      <c r="I82" s="9">
        <f t="shared" si="11"/>
        <v>20.753824603691896</v>
      </c>
      <c r="J82" s="9">
        <f t="shared" si="15"/>
        <v>93.750000000000043</v>
      </c>
    </row>
    <row r="83" spans="1:10">
      <c r="A83" s="9">
        <v>8</v>
      </c>
      <c r="B83" s="9">
        <v>0</v>
      </c>
      <c r="C83" s="9">
        <f t="shared" si="9"/>
        <v>0</v>
      </c>
      <c r="D83" s="9">
        <f t="shared" si="13"/>
        <v>93.750000000000043</v>
      </c>
      <c r="E83" s="9">
        <f t="shared" si="14"/>
        <v>-4.0700346197383315</v>
      </c>
      <c r="F83" s="9">
        <f t="shared" si="10"/>
        <v>9.7503537723099747</v>
      </c>
      <c r="G83" s="9">
        <f t="shared" si="8"/>
        <v>93.750000000000043</v>
      </c>
      <c r="H83" s="9">
        <f t="shared" si="7"/>
        <v>-4.2314952217384274</v>
      </c>
      <c r="I83" s="9">
        <f t="shared" si="11"/>
        <v>20.331586423847973</v>
      </c>
      <c r="J83" s="9">
        <f t="shared" si="15"/>
        <v>93.750000000000043</v>
      </c>
    </row>
    <row r="84" spans="1:10">
      <c r="A84" s="9">
        <v>8.1</v>
      </c>
      <c r="B84" s="9">
        <v>0</v>
      </c>
      <c r="C84" s="9">
        <f t="shared" si="9"/>
        <v>0</v>
      </c>
      <c r="D84" s="9">
        <f t="shared" si="13"/>
        <v>93.750000000000043</v>
      </c>
      <c r="E84" s="9">
        <f t="shared" si="14"/>
        <v>-3.9001415089239901</v>
      </c>
      <c r="F84" s="9">
        <f t="shared" si="10"/>
        <v>9.3433503103361417</v>
      </c>
      <c r="G84" s="9">
        <f t="shared" si="8"/>
        <v>93.750000000000043</v>
      </c>
      <c r="H84" s="9">
        <f t="shared" si="7"/>
        <v>-4.2324930606151998</v>
      </c>
      <c r="I84" s="9">
        <f t="shared" si="11"/>
        <v>19.908436901674129</v>
      </c>
      <c r="J84" s="9">
        <f t="shared" si="15"/>
        <v>93.750000000000043</v>
      </c>
    </row>
    <row r="85" spans="1:10">
      <c r="A85" s="9">
        <v>8.1999999999999993</v>
      </c>
      <c r="B85" s="9">
        <v>0</v>
      </c>
      <c r="C85" s="9">
        <f t="shared" si="9"/>
        <v>0</v>
      </c>
      <c r="D85" s="9">
        <f t="shared" si="13"/>
        <v>93.750000000000043</v>
      </c>
      <c r="E85" s="9">
        <f t="shared" si="14"/>
        <v>-3.737340124134457</v>
      </c>
      <c r="F85" s="9">
        <f t="shared" si="10"/>
        <v>8.9533361594437419</v>
      </c>
      <c r="G85" s="9">
        <f t="shared" si="8"/>
        <v>93.750000000000043</v>
      </c>
      <c r="H85" s="9">
        <f t="shared" si="7"/>
        <v>-4.2260346365351955</v>
      </c>
      <c r="I85" s="9">
        <f t="shared" si="11"/>
        <v>19.485187595612608</v>
      </c>
      <c r="J85" s="9">
        <f t="shared" si="15"/>
        <v>93.750000000000043</v>
      </c>
    </row>
    <row r="86" spans="1:10">
      <c r="A86" s="9">
        <v>8.3000000000000007</v>
      </c>
      <c r="B86" s="9">
        <v>0</v>
      </c>
      <c r="C86" s="9">
        <f t="shared" si="9"/>
        <v>0</v>
      </c>
      <c r="D86" s="9">
        <f t="shared" si="13"/>
        <v>93.750000000000043</v>
      </c>
      <c r="E86" s="9">
        <f t="shared" si="14"/>
        <v>-3.5813344637774969</v>
      </c>
      <c r="F86" s="9">
        <f t="shared" si="10"/>
        <v>8.5796021470302968</v>
      </c>
      <c r="G86" s="9">
        <f t="shared" si="8"/>
        <v>93.750000000000043</v>
      </c>
      <c r="H86" s="9">
        <f t="shared" si="7"/>
        <v>-4.2127405744675466</v>
      </c>
      <c r="I86" s="9">
        <f t="shared" si="11"/>
        <v>19.062584131959088</v>
      </c>
      <c r="J86" s="9">
        <f t="shared" si="15"/>
        <v>93.750000000000043</v>
      </c>
    </row>
    <row r="87" spans="1:10">
      <c r="A87" s="9">
        <v>8.4</v>
      </c>
      <c r="B87" s="9">
        <v>0</v>
      </c>
      <c r="C87" s="9">
        <f t="shared" si="9"/>
        <v>0</v>
      </c>
      <c r="D87" s="9">
        <f t="shared" si="13"/>
        <v>93.750000000000043</v>
      </c>
      <c r="E87" s="9">
        <f t="shared" si="14"/>
        <v>-3.431840858812119</v>
      </c>
      <c r="F87" s="9">
        <f t="shared" si="10"/>
        <v>8.2214687006525473</v>
      </c>
      <c r="G87" s="9">
        <f t="shared" si="8"/>
        <v>93.750000000000043</v>
      </c>
      <c r="H87" s="9">
        <f t="shared" si="7"/>
        <v>-4.1931927939715168</v>
      </c>
      <c r="I87" s="9">
        <f t="shared" si="11"/>
        <v>18.641310074512333</v>
      </c>
      <c r="J87" s="9">
        <f t="shared" si="15"/>
        <v>93.750000000000043</v>
      </c>
    </row>
    <row r="88" spans="1:10">
      <c r="A88" s="9">
        <v>8.5</v>
      </c>
      <c r="B88" s="9">
        <v>0</v>
      </c>
      <c r="C88" s="9">
        <f t="shared" si="9"/>
        <v>0</v>
      </c>
      <c r="D88" s="9">
        <f t="shared" si="13"/>
        <v>93.750000000000043</v>
      </c>
      <c r="E88" s="9">
        <f t="shared" si="14"/>
        <v>-3.2885874802610191</v>
      </c>
      <c r="F88" s="9">
        <f t="shared" si="10"/>
        <v>7.878284614771335</v>
      </c>
      <c r="G88" s="9">
        <f t="shared" si="8"/>
        <v>93.750000000000043</v>
      </c>
      <c r="H88" s="9">
        <f t="shared" ref="H88:H103" si="16">0.4*(F87-I87)</f>
        <v>-4.1679365495439145</v>
      </c>
      <c r="I88" s="9">
        <f t="shared" si="11"/>
        <v>18.221990795115182</v>
      </c>
      <c r="J88" s="9">
        <f t="shared" si="15"/>
        <v>93.750000000000043</v>
      </c>
    </row>
    <row r="89" spans="1:10">
      <c r="A89" s="9">
        <v>8.6</v>
      </c>
      <c r="B89" s="9">
        <v>0</v>
      </c>
      <c r="C89" s="9">
        <f t="shared" si="9"/>
        <v>0</v>
      </c>
      <c r="D89" s="9">
        <f t="shared" si="13"/>
        <v>93.750000000000043</v>
      </c>
      <c r="E89" s="9">
        <f t="shared" si="14"/>
        <v>-3.1513138459085344</v>
      </c>
      <c r="F89" s="9">
        <f t="shared" si="10"/>
        <v>7.5494258667452332</v>
      </c>
      <c r="G89" s="9">
        <f t="shared" si="8"/>
        <v>93.750000000000043</v>
      </c>
      <c r="H89" s="9">
        <f t="shared" si="16"/>
        <v>-4.1374824721375392</v>
      </c>
      <c r="I89" s="9">
        <f t="shared" si="11"/>
        <v>17.805197140160789</v>
      </c>
      <c r="J89" s="9">
        <f t="shared" si="15"/>
        <v>93.750000000000043</v>
      </c>
    </row>
    <row r="90" spans="1:10">
      <c r="A90" s="9">
        <v>8.6999999999999993</v>
      </c>
      <c r="B90" s="9">
        <v>0</v>
      </c>
      <c r="C90" s="9">
        <f t="shared" si="9"/>
        <v>0</v>
      </c>
      <c r="D90" s="9">
        <f t="shared" si="13"/>
        <v>93.750000000000043</v>
      </c>
      <c r="E90" s="9">
        <f t="shared" si="14"/>
        <v>-3.0197703466980936</v>
      </c>
      <c r="F90" s="9">
        <f t="shared" si="10"/>
        <v>7.2342944821543798</v>
      </c>
      <c r="G90" s="9">
        <f t="shared" si="8"/>
        <v>93.750000000000043</v>
      </c>
      <c r="H90" s="9">
        <f t="shared" si="16"/>
        <v>-4.1023085093662228</v>
      </c>
      <c r="I90" s="9">
        <f t="shared" si="11"/>
        <v>17.391448892947036</v>
      </c>
      <c r="J90" s="9">
        <f t="shared" si="15"/>
        <v>93.750000000000043</v>
      </c>
    </row>
    <row r="91" spans="1:10">
      <c r="A91" s="9">
        <v>8.8000000000000007</v>
      </c>
      <c r="B91" s="9">
        <v>0</v>
      </c>
      <c r="C91" s="9">
        <f t="shared" si="9"/>
        <v>0</v>
      </c>
      <c r="D91" s="9">
        <f t="shared" si="13"/>
        <v>93.750000000000043</v>
      </c>
      <c r="E91" s="9">
        <f t="shared" si="14"/>
        <v>-2.8937177928617519</v>
      </c>
      <c r="F91" s="9">
        <f t="shared" si="10"/>
        <v>6.9323174474845706</v>
      </c>
      <c r="G91" s="9">
        <f t="shared" si="8"/>
        <v>93.750000000000043</v>
      </c>
      <c r="H91" s="9">
        <f t="shared" si="16"/>
        <v>-4.0628617643170628</v>
      </c>
      <c r="I91" s="9">
        <f t="shared" si="11"/>
        <v>16.981218042010415</v>
      </c>
      <c r="J91" s="9">
        <f t="shared" si="15"/>
        <v>93.750000000000043</v>
      </c>
    </row>
    <row r="92" spans="1:10">
      <c r="A92" s="9">
        <v>8.9</v>
      </c>
      <c r="B92" s="9">
        <v>0</v>
      </c>
      <c r="C92" s="9">
        <f t="shared" si="9"/>
        <v>0</v>
      </c>
      <c r="D92" s="9">
        <f t="shared" si="13"/>
        <v>93.750000000000043</v>
      </c>
      <c r="E92" s="9">
        <f t="shared" si="14"/>
        <v>-2.7729269789938282</v>
      </c>
      <c r="F92" s="9">
        <f t="shared" si="10"/>
        <v>6.6429456681983954</v>
      </c>
      <c r="G92" s="9">
        <f t="shared" si="8"/>
        <v>93.750000000000043</v>
      </c>
      <c r="H92" s="9">
        <f t="shared" si="16"/>
        <v>-4.0195602378103379</v>
      </c>
      <c r="I92" s="9">
        <f t="shared" si="11"/>
        <v>16.574931865578709</v>
      </c>
      <c r="J92" s="9">
        <f t="shared" si="15"/>
        <v>93.750000000000043</v>
      </c>
    </row>
    <row r="93" spans="1:10">
      <c r="A93" s="9">
        <v>9</v>
      </c>
      <c r="B93" s="9">
        <v>0</v>
      </c>
      <c r="C93" s="9">
        <f t="shared" si="9"/>
        <v>0</v>
      </c>
      <c r="D93" s="9">
        <f t="shared" si="13"/>
        <v>93.750000000000043</v>
      </c>
      <c r="E93" s="9">
        <f t="shared" si="14"/>
        <v>-2.6571782672793582</v>
      </c>
      <c r="F93" s="9">
        <f t="shared" si="10"/>
        <v>6.3656529702990126</v>
      </c>
      <c r="G93" s="9">
        <f t="shared" si="8"/>
        <v>93.750000000000043</v>
      </c>
      <c r="H93" s="9">
        <f t="shared" si="16"/>
        <v>-3.9727944789521255</v>
      </c>
      <c r="I93" s="9">
        <f t="shared" si="11"/>
        <v>16.172975841797676</v>
      </c>
      <c r="J93" s="9">
        <f t="shared" si="15"/>
        <v>93.750000000000043</v>
      </c>
    </row>
    <row r="94" spans="1:10">
      <c r="A94" s="9">
        <v>9.1</v>
      </c>
      <c r="B94" s="9">
        <v>0</v>
      </c>
      <c r="C94" s="9">
        <f t="shared" si="9"/>
        <v>0</v>
      </c>
      <c r="D94" s="9">
        <f t="shared" si="13"/>
        <v>93.750000000000043</v>
      </c>
      <c r="E94" s="9">
        <f t="shared" si="14"/>
        <v>-2.5462611881196051</v>
      </c>
      <c r="F94" s="9">
        <f t="shared" si="10"/>
        <v>6.0999351435710771</v>
      </c>
      <c r="G94" s="9">
        <f t="shared" si="8"/>
        <v>93.750000000000043</v>
      </c>
      <c r="H94" s="9">
        <f t="shared" si="16"/>
        <v>-3.9229291485994651</v>
      </c>
      <c r="I94" s="9">
        <f t="shared" si="11"/>
        <v>15.775696393902464</v>
      </c>
      <c r="J94" s="9">
        <f t="shared" si="15"/>
        <v>93.750000000000043</v>
      </c>
    </row>
    <row r="95" spans="1:10">
      <c r="A95" s="9">
        <v>9.1999999999999993</v>
      </c>
      <c r="B95" s="9">
        <v>0</v>
      </c>
      <c r="C95" s="9">
        <f t="shared" si="9"/>
        <v>0</v>
      </c>
      <c r="D95" s="9">
        <f t="shared" si="13"/>
        <v>93.750000000000043</v>
      </c>
      <c r="E95" s="9">
        <f t="shared" si="14"/>
        <v>-2.4399740574284312</v>
      </c>
      <c r="F95" s="9">
        <f t="shared" si="10"/>
        <v>5.8453090247591168</v>
      </c>
      <c r="G95" s="9">
        <f t="shared" si="8"/>
        <v>93.750000000000043</v>
      </c>
      <c r="H95" s="9">
        <f t="shared" si="16"/>
        <v>-3.8703045001325549</v>
      </c>
      <c r="I95" s="9">
        <f t="shared" si="11"/>
        <v>15.383403479042517</v>
      </c>
      <c r="J95" s="9">
        <f t="shared" si="15"/>
        <v>93.750000000000043</v>
      </c>
    </row>
    <row r="96" spans="1:10">
      <c r="A96" s="9">
        <v>9.3000000000000007</v>
      </c>
      <c r="B96" s="9">
        <v>0</v>
      </c>
      <c r="C96" s="9">
        <f t="shared" si="9"/>
        <v>0</v>
      </c>
      <c r="D96" s="9">
        <f t="shared" si="13"/>
        <v>93.750000000000043</v>
      </c>
      <c r="E96" s="9">
        <f t="shared" si="14"/>
        <v>-2.3381236099036466</v>
      </c>
      <c r="F96" s="9">
        <f t="shared" si="10"/>
        <v>5.6013116190162737</v>
      </c>
      <c r="G96" s="9">
        <f t="shared" si="8"/>
        <v>93.750000000000043</v>
      </c>
      <c r="H96" s="9">
        <f t="shared" si="16"/>
        <v>-3.81523778171336</v>
      </c>
      <c r="I96" s="9">
        <f t="shared" si="11"/>
        <v>14.996373029029261</v>
      </c>
      <c r="J96" s="9">
        <f t="shared" si="15"/>
        <v>93.750000000000043</v>
      </c>
    </row>
    <row r="97" spans="1:10">
      <c r="A97" s="9">
        <v>9.4</v>
      </c>
      <c r="B97" s="9">
        <v>0</v>
      </c>
      <c r="C97" s="9">
        <f t="shared" si="9"/>
        <v>0</v>
      </c>
      <c r="D97" s="9">
        <f t="shared" si="13"/>
        <v>93.750000000000043</v>
      </c>
      <c r="E97" s="9">
        <f t="shared" si="14"/>
        <v>-2.2405246476065095</v>
      </c>
      <c r="F97" s="9">
        <f t="shared" si="10"/>
        <v>5.3674992580259087</v>
      </c>
      <c r="G97" s="9">
        <f t="shared" si="8"/>
        <v>93.750000000000043</v>
      </c>
      <c r="H97" s="9">
        <f t="shared" si="16"/>
        <v>-3.7580245640051952</v>
      </c>
      <c r="I97" s="9">
        <f t="shared" si="11"/>
        <v>14.614849250857924</v>
      </c>
      <c r="J97" s="9">
        <f t="shared" si="15"/>
        <v>93.750000000000043</v>
      </c>
    </row>
    <row r="98" spans="1:10">
      <c r="A98" s="9">
        <v>9.5</v>
      </c>
      <c r="B98" s="9">
        <v>0</v>
      </c>
      <c r="C98" s="9">
        <f t="shared" si="9"/>
        <v>0</v>
      </c>
      <c r="D98" s="9">
        <f t="shared" si="13"/>
        <v>93.750000000000043</v>
      </c>
      <c r="E98" s="9">
        <f t="shared" si="14"/>
        <v>-2.1469997032103634</v>
      </c>
      <c r="F98" s="9">
        <f t="shared" si="10"/>
        <v>5.1434467932652579</v>
      </c>
      <c r="G98" s="9">
        <f t="shared" si="8"/>
        <v>93.750000000000043</v>
      </c>
      <c r="H98" s="9">
        <f t="shared" si="16"/>
        <v>-3.6989399971328063</v>
      </c>
      <c r="I98" s="9">
        <f t="shared" si="11"/>
        <v>14.239046794457405</v>
      </c>
      <c r="J98" s="9">
        <f t="shared" si="15"/>
        <v>93.750000000000043</v>
      </c>
    </row>
    <row r="99" spans="1:10">
      <c r="A99" s="9">
        <v>9.6</v>
      </c>
      <c r="B99" s="9">
        <v>0</v>
      </c>
      <c r="C99" s="9">
        <f t="shared" si="9"/>
        <v>0</v>
      </c>
      <c r="D99" s="9">
        <f t="shared" si="13"/>
        <v>93.750000000000043</v>
      </c>
      <c r="E99" s="9">
        <f t="shared" si="14"/>
        <v>-2.0573787173061033</v>
      </c>
      <c r="F99" s="9">
        <f t="shared" si="10"/>
        <v>4.9287468229442215</v>
      </c>
      <c r="G99" s="9">
        <f t="shared" si="8"/>
        <v>93.750000000000043</v>
      </c>
      <c r="H99" s="9">
        <f t="shared" si="16"/>
        <v>-3.6382400004768587</v>
      </c>
      <c r="I99" s="9">
        <f t="shared" si="11"/>
        <v>13.869152794744124</v>
      </c>
      <c r="J99" s="9">
        <f t="shared" si="15"/>
        <v>93.750000000000043</v>
      </c>
    </row>
    <row r="100" spans="1:10">
      <c r="A100" s="9">
        <v>9.6999999999999993</v>
      </c>
      <c r="B100" s="9">
        <v>0</v>
      </c>
      <c r="C100" s="9">
        <f t="shared" si="9"/>
        <v>0</v>
      </c>
      <c r="D100" s="9">
        <f t="shared" si="13"/>
        <v>93.750000000000043</v>
      </c>
      <c r="E100" s="9">
        <f t="shared" si="14"/>
        <v>-1.9714987291776886</v>
      </c>
      <c r="F100" s="9">
        <f t="shared" si="10"/>
        <v>4.7230089512136111</v>
      </c>
      <c r="G100" s="9">
        <f t="shared" si="8"/>
        <v>93.750000000000043</v>
      </c>
      <c r="H100" s="9">
        <f t="shared" si="16"/>
        <v>-3.5761623887199612</v>
      </c>
      <c r="I100" s="9">
        <f t="shared" si="11"/>
        <v>13.505328794696439</v>
      </c>
      <c r="J100" s="9">
        <f t="shared" si="15"/>
        <v>93.750000000000043</v>
      </c>
    </row>
    <row r="101" spans="1:10">
      <c r="A101" s="9">
        <v>9.8000000000000007</v>
      </c>
      <c r="B101" s="9">
        <v>0</v>
      </c>
      <c r="C101" s="9">
        <f t="shared" si="9"/>
        <v>0</v>
      </c>
      <c r="D101" s="9">
        <f t="shared" si="13"/>
        <v>93.750000000000043</v>
      </c>
      <c r="E101" s="9">
        <f t="shared" si="14"/>
        <v>-1.8892035804854446</v>
      </c>
      <c r="F101" s="9">
        <f t="shared" si="10"/>
        <v>4.5258590782958423</v>
      </c>
      <c r="G101" s="9">
        <f t="shared" si="8"/>
        <v>93.750000000000043</v>
      </c>
      <c r="H101" s="9">
        <f t="shared" si="16"/>
        <v>-3.5129279373931315</v>
      </c>
      <c r="I101" s="9">
        <f t="shared" si="11"/>
        <v>13.147712555824443</v>
      </c>
      <c r="J101" s="9">
        <f t="shared" si="15"/>
        <v>93.750000000000043</v>
      </c>
    </row>
    <row r="102" spans="1:10">
      <c r="A102" s="9">
        <v>9.9</v>
      </c>
      <c r="B102" s="9">
        <v>0</v>
      </c>
      <c r="C102" s="9">
        <f t="shared" si="9"/>
        <v>0</v>
      </c>
      <c r="D102" s="9">
        <f t="shared" si="13"/>
        <v>93.750000000000043</v>
      </c>
      <c r="E102" s="9">
        <f t="shared" si="14"/>
        <v>-1.810343631318337</v>
      </c>
      <c r="F102" s="9">
        <f t="shared" si="10"/>
        <v>4.3369387202472982</v>
      </c>
      <c r="G102" s="9">
        <f t="shared" si="8"/>
        <v>93.750000000000043</v>
      </c>
      <c r="H102" s="9">
        <f t="shared" si="16"/>
        <v>-3.4487413910114402</v>
      </c>
      <c r="I102" s="9">
        <f t="shared" si="11"/>
        <v>12.796419762085129</v>
      </c>
      <c r="J102" s="9">
        <f t="shared" si="15"/>
        <v>93.750000000000043</v>
      </c>
    </row>
    <row r="103" spans="1:10">
      <c r="A103" s="9">
        <v>10</v>
      </c>
      <c r="B103" s="9">
        <v>0</v>
      </c>
      <c r="C103" s="9">
        <f t="shared" si="9"/>
        <v>0</v>
      </c>
      <c r="D103" s="9">
        <f t="shared" si="13"/>
        <v>93.750000000000043</v>
      </c>
      <c r="E103" s="9">
        <f t="shared" si="14"/>
        <v>-1.7347754880989195</v>
      </c>
      <c r="F103" s="9">
        <f t="shared" si="10"/>
        <v>4.1559043571154648</v>
      </c>
      <c r="G103" s="9">
        <f t="shared" si="8"/>
        <v>93.750000000000043</v>
      </c>
      <c r="H103" s="9">
        <f t="shared" si="16"/>
        <v>-3.3837924167351328</v>
      </c>
      <c r="I103" s="9">
        <f t="shared" si="11"/>
        <v>12.451545622983986</v>
      </c>
      <c r="J103" s="9">
        <f t="shared" si="15"/>
        <v>93.750000000000043</v>
      </c>
    </row>
  </sheetData>
  <mergeCells count="4">
    <mergeCell ref="A1:A2"/>
    <mergeCell ref="B1:D1"/>
    <mergeCell ref="E1:G1"/>
    <mergeCell ref="H1:J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 1</vt:lpstr>
      <vt:lpstr>Question 2</vt:lpstr>
      <vt:lpstr>Question 3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Zhu</dc:creator>
  <cp:lastModifiedBy>Rishav Bhattacharya</cp:lastModifiedBy>
  <dcterms:created xsi:type="dcterms:W3CDTF">2014-09-06T00:54:02Z</dcterms:created>
  <dcterms:modified xsi:type="dcterms:W3CDTF">2018-11-04T09:35:35Z</dcterms:modified>
</cp:coreProperties>
</file>